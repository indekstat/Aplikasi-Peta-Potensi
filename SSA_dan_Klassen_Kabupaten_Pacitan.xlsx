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 SSA" sheetId="1" r:id="rId4"/>
    <sheet state="visible" name="Klassen" sheetId="2" r:id="rId5"/>
  </sheets>
  <definedNames/>
  <calcPr/>
  <extLst>
    <ext uri="GoogleSheetsCustomDataVersion2">
      <go:sheetsCustomData xmlns:go="http://customooxmlschemas.google.com/" r:id="rId6" roundtripDataChecksum="GTD8FLpWSHHGxXyRoGhhwT4VtVppRC9YeVa+v7YX9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ID#AAAB_dEdWP8
Unknown Author    (2026-07-22 11:30:49)
Data PDRB Kabupaten Pacitan tahun 2025 (kolom H) merupakan estimasi hasil ekstrapolasi linier dari data 2023-2024 (rumus asli file: =G+(G-F)), karena data resmi tahun 2025 diasumsikan belum tersedia saat file disusun.</t>
      </text>
    </comment>
  </commentList>
  <extLst>
    <ext uri="GoogleSheetsCustomDataVersion2">
      <go:sheetsCustomData xmlns:go="http://customooxmlschemas.google.com/" r:id="rId1" roundtripDataSignature="AMtx7mgJQMVHjqyRdijzI05BgdqocJRD7A=="/>
    </ext>
  </extLst>
</comments>
</file>

<file path=xl/sharedStrings.xml><?xml version="1.0" encoding="utf-8"?>
<sst xmlns="http://schemas.openxmlformats.org/spreadsheetml/2006/main" count="79" uniqueCount="79">
  <si>
    <t>Perhitungan Shift Share Analysis (SSA)</t>
  </si>
  <si>
    <t>Data Pendukung Tipologi Klassen (lihat sheet Klassen)</t>
  </si>
  <si>
    <t>PDRB Subsektor (Seri 2010)</t>
  </si>
  <si>
    <t>PDRB ADHK Jawa Timur</t>
  </si>
  <si>
    <t>PDRB ADHK Kabupaten Pacitan</t>
  </si>
  <si>
    <t>Komponen SSA (Kabupaten Pacitan)</t>
  </si>
  <si>
    <t>Pertumbuhan &amp; Kontribusi (untuk Klassen)</t>
  </si>
  <si>
    <t>Yij,0</t>
  </si>
  <si>
    <t>rn (1)</t>
  </si>
  <si>
    <t>rn (2)</t>
  </si>
  <si>
    <t>Rata-rata rn (ri)</t>
  </si>
  <si>
    <t>NSij</t>
  </si>
  <si>
    <t>IMij</t>
  </si>
  <si>
    <t>DSij</t>
  </si>
  <si>
    <t>SSA</t>
  </si>
  <si>
    <t>Ri (1)</t>
  </si>
  <si>
    <t>Ri (2)</t>
  </si>
  <si>
    <t>Rata-rata Ri</t>
  </si>
  <si>
    <t>si (kontribusi kab)</t>
  </si>
  <si>
    <t>Si (kontribusi prov)</t>
  </si>
  <si>
    <t>A</t>
  </si>
  <si>
    <t>Pertanian, Kehutanan, dan Perikanan</t>
  </si>
  <si>
    <t>B</t>
  </si>
  <si>
    <t>Pertambangan dan Penggalian</t>
  </si>
  <si>
    <t>C</t>
  </si>
  <si>
    <t>Industri Pengolahan</t>
  </si>
  <si>
    <t>D</t>
  </si>
  <si>
    <t>Pengadaan Listrik dan Gas</t>
  </si>
  <si>
    <t>E</t>
  </si>
  <si>
    <t>Pengadaan Air, Pengelolaan Sampah, Limbah dan Daur Ulang</t>
  </si>
  <si>
    <t>F</t>
  </si>
  <si>
    <t>Konstruksi</t>
  </si>
  <si>
    <t>G</t>
  </si>
  <si>
    <t>Perdagangan Besar dan Eceran</t>
  </si>
  <si>
    <t>H</t>
  </si>
  <si>
    <t>Transportasi dan Pergudangan</t>
  </si>
  <si>
    <t>I</t>
  </si>
  <si>
    <t>Penyediaan Akomodasi dan Makan Minum</t>
  </si>
  <si>
    <t>J</t>
  </si>
  <si>
    <t>Informasi dan Komunikasi</t>
  </si>
  <si>
    <t>K</t>
  </si>
  <si>
    <t>Jasa Keuangan dan Asuransi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</si>
  <si>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</si>
  <si>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</si>
  <si>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</si>
  <si>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</si>
  <si>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</si>
  <si>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</si>
  <si>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</si>
  <si>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</si>
  <si>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</si>
  <si>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</si>
  <si>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 U</t>
  </si>
  <si>
    <t>Jasa lainnya</t>
  </si>
  <si>
    <t>PRODUK DOMESTIK REGIONAL BRUTO</t>
  </si>
  <si>
    <t xml:space="preserve">    </t>
  </si>
  <si>
    <t>TIPOLOGI KLASSEN — Kabupaten Pacitan terhadap Provinsi Jawa Timur</t>
  </si>
  <si>
    <t>Sumbu pertumbuhan: ri (laju pertumbuhan sektor di Kab. Pacitan) dibandingkan Ri (laju pertumbuhan sektor yang sama di Prov. Jawa Timur). Sumbu kontribusi: si (kontribusi sektor terhadap PDRB Kab. Pacitan) dibandingkan Si (kontribusi sektor yang sama terhadap PDRB Prov. Jawa Timur).</t>
  </si>
  <si>
    <t>Kode</t>
  </si>
  <si>
    <t>Sektor</t>
  </si>
  <si>
    <t>ri (%)</t>
  </si>
  <si>
    <t>Ri (%)</t>
  </si>
  <si>
    <t>si (%)</t>
  </si>
  <si>
    <t>Si (%)</t>
  </si>
  <si>
    <t>Kuadran</t>
  </si>
  <si>
    <t>Klasifikasi</t>
  </si>
  <si>
    <t>Keterangan Kuadran:</t>
  </si>
  <si>
    <t>Kuadran I</t>
  </si>
  <si>
    <t>Sektor Maju dan Tumbuh Pesat (Prima)</t>
  </si>
  <si>
    <t>ri &gt; Ri dan si &gt; Si</t>
  </si>
  <si>
    <t>Kuadran II</t>
  </si>
  <si>
    <t>Sektor Maju tapi Tertekan (Stagnan)</t>
  </si>
  <si>
    <t>ri &lt; Ri tetapi si &gt; Si</t>
  </si>
  <si>
    <t>Kuadran III</t>
  </si>
  <si>
    <t>Sektor Potensial / Masih Dapat Berkembang Cepat</t>
  </si>
  <si>
    <t>ri &gt; Ri tetapi si &lt; Si</t>
  </si>
  <si>
    <t>Kuadran IV</t>
  </si>
  <si>
    <t>Sektor Relatif Tertinggal</t>
  </si>
  <si>
    <t>ri &lt; Ri dan si &lt; 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</si>
</sst>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b/>
      <i/>
      <sz val="11.0"/>
      <color theme="1"/>
      <name val="Arial"/>
    </font>
    <font/>
    <font>
      <b/>
      <sz val="9.0"/>
      <color theme="1"/>
      <name val="Arial"/>
    </font>
    <font>
      <sz val="10.0"/>
      <color rgb="FF000000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b/>
      <sz val="16.0"/>
      <color theme="1"/>
      <name val="Calibri"/>
    </font>
    <font>
      <sz val="12.0"/>
      <color theme="1"/>
      <name val="Calibri"/>
    </font>
    <font>
      <b/>
      <sz val="12.0"/>
      <color theme="1"/>
      <name val="Arial"/>
    </font>
    <font>
      <i/>
      <sz val="9.0"/>
      <color theme="1"/>
      <name val="Arial"/>
    </font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B6D7A8"/>
        <bgColor rgb="FFB6D7A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ill="1" applyFont="1">
      <alignment horizontal="center" shrinkToFit="0" vertical="bottom" wrapText="0"/>
    </xf>
    <xf borderId="4" fillId="0" fontId="6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1" numFmtId="0" xfId="0" applyAlignment="1" applyBorder="1" applyFont="1">
      <alignment horizontal="center" shrinkToFit="0" vertical="bottom" wrapText="0"/>
    </xf>
    <xf borderId="14" fillId="3" fontId="7" numFmtId="0" xfId="0" applyAlignment="1" applyBorder="1" applyFill="1" applyFont="1">
      <alignment horizontal="center" shrinkToFit="0" vertical="center" wrapText="1"/>
    </xf>
    <xf borderId="13" fillId="0" fontId="1" numFmtId="0" xfId="0" applyAlignment="1" applyBorder="1" applyFont="1">
      <alignment shrinkToFit="0" vertical="bottom" wrapText="0"/>
    </xf>
    <xf borderId="14" fillId="0" fontId="1" numFmtId="4" xfId="0" applyAlignment="1" applyBorder="1" applyFont="1" applyNumberFormat="1">
      <alignment horizontal="center" shrinkToFit="0" vertical="bottom" wrapText="0"/>
    </xf>
    <xf borderId="14" fillId="0" fontId="1" numFmtId="10" xfId="0" applyAlignment="1" applyBorder="1" applyFont="1" applyNumberFormat="1">
      <alignment horizontal="center" shrinkToFit="0" vertical="bottom" wrapText="0"/>
    </xf>
    <xf borderId="14" fillId="0" fontId="1" numFmtId="4" xfId="0" applyAlignment="1" applyBorder="1" applyFont="1" applyNumberFormat="1">
      <alignment shrinkToFit="0" vertical="bottom" wrapText="0"/>
    </xf>
    <xf borderId="14" fillId="4" fontId="1" numFmtId="4" xfId="0" applyAlignment="1" applyBorder="1" applyFill="1" applyFont="1" applyNumberFormat="1">
      <alignment shrinkToFit="0" vertical="bottom" wrapText="0"/>
    </xf>
    <xf borderId="14" fillId="0" fontId="1" numFmtId="10" xfId="0" applyAlignment="1" applyBorder="1" applyFont="1" applyNumberFormat="1">
      <alignment shrinkToFit="0" vertical="bottom" wrapText="0"/>
    </xf>
    <xf borderId="13" fillId="0" fontId="1" numFmtId="2" xfId="0" applyAlignment="1" applyBorder="1" applyFont="1" applyNumberFormat="1">
      <alignment horizontal="center" shrinkToFit="0" vertical="bottom" wrapText="0"/>
    </xf>
    <xf borderId="14" fillId="0" fontId="8" numFmtId="4" xfId="0" applyAlignment="1" applyBorder="1" applyFont="1" applyNumberFormat="1">
      <alignment shrinkToFit="0" vertical="bottom" wrapText="0"/>
    </xf>
    <xf borderId="14" fillId="0" fontId="8" numFmtId="10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3" fillId="0" fontId="10" numFmtId="2" xfId="0" applyAlignment="1" applyBorder="1" applyFont="1" applyNumberFormat="1">
      <alignment horizontal="center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1"/>
    </xf>
    <xf borderId="14" fillId="3" fontId="13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1"/>
    </xf>
    <xf borderId="14" fillId="0" fontId="1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75"/>
    <col customWidth="1" min="2" max="2" width="54.13"/>
    <col customWidth="1" min="3" max="3" width="22.25"/>
    <col customWidth="1" min="4" max="5" width="26.13"/>
    <col customWidth="1" min="6" max="8" width="27.63"/>
    <col customWidth="1" min="9" max="13" width="10.0"/>
    <col customWidth="1" min="14" max="16" width="11.0"/>
    <col customWidth="1" min="17" max="18" width="9.0"/>
    <col customWidth="1" min="19" max="19" width="12.0"/>
    <col customWidth="1" min="20" max="21" width="1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Q1" s="3" t="s">
        <v>1</v>
      </c>
    </row>
    <row r="2" ht="15.75" customHeight="1">
      <c r="A2" s="4"/>
      <c r="B2" s="4" t="s">
        <v>2</v>
      </c>
      <c r="C2" s="5" t="s">
        <v>3</v>
      </c>
      <c r="D2" s="6"/>
      <c r="E2" s="7"/>
      <c r="F2" s="5" t="s">
        <v>4</v>
      </c>
      <c r="G2" s="6"/>
      <c r="H2" s="7"/>
      <c r="I2" s="8" t="s">
        <v>5</v>
      </c>
      <c r="J2" s="6"/>
      <c r="K2" s="6"/>
      <c r="L2" s="6"/>
      <c r="M2" s="6"/>
      <c r="N2" s="6"/>
      <c r="O2" s="7"/>
      <c r="P2" s="9"/>
      <c r="Q2" s="10" t="s">
        <v>6</v>
      </c>
      <c r="R2" s="11"/>
      <c r="S2" s="11"/>
      <c r="T2" s="11"/>
      <c r="U2" s="12"/>
    </row>
    <row r="3" ht="15.75" customHeight="1">
      <c r="A3" s="13"/>
      <c r="B3" s="13"/>
      <c r="C3" s="14"/>
      <c r="D3" s="15"/>
      <c r="E3" s="16"/>
      <c r="F3" s="14"/>
      <c r="G3" s="15"/>
      <c r="H3" s="16"/>
      <c r="I3" s="14"/>
      <c r="J3" s="15"/>
      <c r="K3" s="15"/>
      <c r="L3" s="15"/>
      <c r="M3" s="15"/>
      <c r="N3" s="15"/>
      <c r="O3" s="16"/>
      <c r="P3" s="16"/>
      <c r="Q3" s="1"/>
      <c r="R3" s="1"/>
      <c r="S3" s="1"/>
      <c r="T3" s="1"/>
      <c r="U3" s="1"/>
    </row>
    <row r="4" ht="21.75" customHeight="1">
      <c r="A4" s="17"/>
      <c r="B4" s="17"/>
      <c r="C4" s="18">
        <v>2023.0</v>
      </c>
      <c r="D4" s="18">
        <v>2024.0</v>
      </c>
      <c r="E4" s="18">
        <v>2025.0</v>
      </c>
      <c r="F4" s="18">
        <v>2023.0</v>
      </c>
      <c r="G4" s="18">
        <v>2024.0</v>
      </c>
      <c r="H4" s="18">
        <v>2025.0</v>
      </c>
      <c r="I4" s="19" t="s">
        <v>7</v>
      </c>
      <c r="J4" s="19" t="s">
        <v>8</v>
      </c>
      <c r="K4" s="19" t="s">
        <v>9</v>
      </c>
      <c r="L4" s="19" t="s">
        <v>10</v>
      </c>
      <c r="M4" s="19" t="s">
        <v>11</v>
      </c>
      <c r="N4" s="19" t="s">
        <v>12</v>
      </c>
      <c r="O4" s="19" t="s">
        <v>13</v>
      </c>
      <c r="P4" s="19" t="s">
        <v>14</v>
      </c>
      <c r="Q4" s="19" t="s">
        <v>15</v>
      </c>
      <c r="R4" s="19" t="s">
        <v>16</v>
      </c>
      <c r="S4" s="19" t="s">
        <v>17</v>
      </c>
      <c r="T4" s="19" t="s">
        <v>18</v>
      </c>
      <c r="U4" s="19" t="s">
        <v>19</v>
      </c>
    </row>
    <row r="5" ht="15.75" customHeight="1">
      <c r="A5" s="18" t="s">
        <v>20</v>
      </c>
      <c r="B5" s="20" t="s">
        <v>21</v>
      </c>
      <c r="C5" s="18">
        <v>326087.35</v>
      </c>
      <c r="D5" s="18">
        <v>337697.52</v>
      </c>
      <c r="E5" s="18">
        <v>365375.14</v>
      </c>
      <c r="F5" s="18">
        <v>2827.38</v>
      </c>
      <c r="G5" s="18">
        <v>2817.71</v>
      </c>
      <c r="H5" s="18">
        <v>2808.04</v>
      </c>
      <c r="I5" s="21">
        <f t="shared" ref="I5:I21" si="3">F5</f>
        <v>2827.38</v>
      </c>
      <c r="J5" s="22">
        <f t="shared" ref="J5:K5" si="1">(G5-F5)/F5</f>
        <v>-0.003420127468</v>
      </c>
      <c r="K5" s="22">
        <f t="shared" si="1"/>
        <v>-0.003431864883</v>
      </c>
      <c r="L5" s="22">
        <f t="shared" ref="L5:L21" si="5">AVERAGE(J5:K5)</f>
        <v>-0.003425996176</v>
      </c>
      <c r="M5" s="21">
        <f t="shared" ref="M5:M21" si="6">I5*$S$22</f>
        <v>207.5868827</v>
      </c>
      <c r="N5" s="23">
        <f t="shared" ref="N5:N21" si="7">I5*(S5-$S$22)</f>
        <v>-41.38744307</v>
      </c>
      <c r="O5" s="23">
        <f t="shared" ref="O5:O21" si="8">I5*(L5-S5)</f>
        <v>-175.8860327</v>
      </c>
      <c r="P5" s="24">
        <f t="shared" ref="P5:P21" si="9">M5+N5+O5</f>
        <v>-9.686593067</v>
      </c>
      <c r="Q5" s="25">
        <f t="shared" ref="Q5:R5" si="2">(D5-C5)/C5</f>
        <v>0.03560447837</v>
      </c>
      <c r="R5" s="25">
        <f t="shared" si="2"/>
        <v>0.08195979645</v>
      </c>
      <c r="S5" s="25">
        <f t="shared" ref="S5:S22" si="11">AVERAGE(Q5:R5)</f>
        <v>0.05878213741</v>
      </c>
      <c r="T5" s="25">
        <f t="shared" ref="T5:T21" si="12">AVERAGE(F5/F$22,G5/G$22,H5/H$22)</f>
        <v>0.2227149099</v>
      </c>
      <c r="U5" s="25">
        <f t="shared" ref="U5:U21" si="13">AVERAGE(C5/C$22,D5/D$22,E5/E$22)</f>
        <v>0.1081183691</v>
      </c>
    </row>
    <row r="6" ht="15.75" customHeight="1">
      <c r="A6" s="18" t="s">
        <v>22</v>
      </c>
      <c r="B6" s="20" t="s">
        <v>23</v>
      </c>
      <c r="C6" s="18">
        <v>112701.63</v>
      </c>
      <c r="D6" s="18">
        <v>113344.46</v>
      </c>
      <c r="E6" s="18">
        <v>113099.01</v>
      </c>
      <c r="F6" s="18">
        <v>664.31</v>
      </c>
      <c r="G6" s="18">
        <v>691.06</v>
      </c>
      <c r="H6" s="18">
        <v>717.81</v>
      </c>
      <c r="I6" s="21">
        <f t="shared" si="3"/>
        <v>664.31</v>
      </c>
      <c r="J6" s="22">
        <f t="shared" ref="J6:K6" si="4">(G6-F6)/F6</f>
        <v>0.04026734506</v>
      </c>
      <c r="K6" s="22">
        <f t="shared" si="4"/>
        <v>0.03870865048</v>
      </c>
      <c r="L6" s="22">
        <f t="shared" si="5"/>
        <v>0.03948799777</v>
      </c>
      <c r="M6" s="21">
        <f t="shared" si="6"/>
        <v>48.77379131</v>
      </c>
      <c r="N6" s="23">
        <f t="shared" si="7"/>
        <v>-47.59852761</v>
      </c>
      <c r="O6" s="23">
        <f t="shared" si="8"/>
        <v>25.0570081</v>
      </c>
      <c r="P6" s="24">
        <f t="shared" si="9"/>
        <v>26.2322718</v>
      </c>
      <c r="Q6" s="25">
        <f t="shared" ref="Q6:R6" si="10">(D6-C6)/C6</f>
        <v>0.005703821675</v>
      </c>
      <c r="R6" s="25">
        <f t="shared" si="10"/>
        <v>-0.002165522691</v>
      </c>
      <c r="S6" s="25">
        <f t="shared" si="11"/>
        <v>0.001769149492</v>
      </c>
      <c r="T6" s="25">
        <f t="shared" si="12"/>
        <v>0.05457848874</v>
      </c>
      <c r="U6" s="25">
        <f t="shared" si="13"/>
        <v>0.03572203591</v>
      </c>
    </row>
    <row r="7" ht="15.75" customHeight="1">
      <c r="A7" s="18" t="s">
        <v>24</v>
      </c>
      <c r="B7" s="20" t="s">
        <v>25</v>
      </c>
      <c r="C7" s="18">
        <v>901185.69</v>
      </c>
      <c r="D7" s="18">
        <v>977507.54</v>
      </c>
      <c r="E7" s="18">
        <v>1065685.79</v>
      </c>
      <c r="F7" s="18">
        <v>889.97</v>
      </c>
      <c r="G7" s="18">
        <v>953.48</v>
      </c>
      <c r="H7" s="18">
        <v>1016.99</v>
      </c>
      <c r="I7" s="21">
        <f t="shared" si="3"/>
        <v>889.97</v>
      </c>
      <c r="J7" s="22">
        <f t="shared" ref="J7:K7" si="14">(G7-F7)/F7</f>
        <v>0.07136195602</v>
      </c>
      <c r="K7" s="22">
        <f t="shared" si="14"/>
        <v>0.06660863364</v>
      </c>
      <c r="L7" s="22">
        <f t="shared" si="5"/>
        <v>0.06898529483</v>
      </c>
      <c r="M7" s="21">
        <f t="shared" si="6"/>
        <v>65.34179984</v>
      </c>
      <c r="N7" s="23">
        <f t="shared" si="7"/>
        <v>12.48505945</v>
      </c>
      <c r="O7" s="23">
        <f t="shared" si="8"/>
        <v>-16.43201645</v>
      </c>
      <c r="P7" s="24">
        <f t="shared" si="9"/>
        <v>61.39484284</v>
      </c>
      <c r="Q7" s="25">
        <f t="shared" ref="Q7:R7" si="15">(D7-C7)/C7</f>
        <v>0.08469048149</v>
      </c>
      <c r="R7" s="25">
        <f t="shared" si="15"/>
        <v>0.09020723257</v>
      </c>
      <c r="S7" s="25">
        <f t="shared" si="11"/>
        <v>0.08744885703</v>
      </c>
      <c r="T7" s="25">
        <f t="shared" si="12"/>
        <v>0.07526399763</v>
      </c>
      <c r="U7" s="25">
        <f t="shared" si="13"/>
        <v>0.308931007</v>
      </c>
    </row>
    <row r="8" ht="15.75" customHeight="1">
      <c r="A8" s="18" t="s">
        <v>26</v>
      </c>
      <c r="B8" s="20" t="s">
        <v>27</v>
      </c>
      <c r="C8" s="18">
        <v>10374.52</v>
      </c>
      <c r="D8" s="18">
        <v>11181.77</v>
      </c>
      <c r="E8" s="18">
        <v>11981.83</v>
      </c>
      <c r="F8" s="18">
        <v>5.32</v>
      </c>
      <c r="G8" s="18">
        <v>5.74</v>
      </c>
      <c r="H8" s="18">
        <v>6.16</v>
      </c>
      <c r="I8" s="21">
        <f t="shared" si="3"/>
        <v>5.32</v>
      </c>
      <c r="J8" s="22">
        <f t="shared" ref="J8:K8" si="16">(G8-F8)/F8</f>
        <v>0.07894736842</v>
      </c>
      <c r="K8" s="22">
        <f t="shared" si="16"/>
        <v>0.07317073171</v>
      </c>
      <c r="L8" s="22">
        <f t="shared" si="5"/>
        <v>0.07605905006</v>
      </c>
      <c r="M8" s="21">
        <f t="shared" si="6"/>
        <v>0.3905956101</v>
      </c>
      <c r="N8" s="23">
        <f t="shared" si="7"/>
        <v>0.00670523093</v>
      </c>
      <c r="O8" s="23">
        <f t="shared" si="8"/>
        <v>0.007333305276</v>
      </c>
      <c r="P8" s="24">
        <f t="shared" si="9"/>
        <v>0.4046341463</v>
      </c>
      <c r="Q8" s="25">
        <f t="shared" ref="Q8:R8" si="17">(D8-C8)/C8</f>
        <v>0.07781082884</v>
      </c>
      <c r="R8" s="25">
        <f t="shared" si="17"/>
        <v>0.07155038961</v>
      </c>
      <c r="S8" s="25">
        <f t="shared" si="11"/>
        <v>0.07468060922</v>
      </c>
      <c r="T8" s="25">
        <f t="shared" si="12"/>
        <v>0.0004530367776</v>
      </c>
      <c r="U8" s="25">
        <f t="shared" si="13"/>
        <v>0.003520873725</v>
      </c>
    </row>
    <row r="9" ht="15.75" customHeight="1">
      <c r="A9" s="18" t="s">
        <v>28</v>
      </c>
      <c r="B9" s="20" t="s">
        <v>29</v>
      </c>
      <c r="C9" s="18">
        <v>2541.86</v>
      </c>
      <c r="D9" s="18">
        <v>2626.96</v>
      </c>
      <c r="E9" s="18">
        <v>2763.35</v>
      </c>
      <c r="F9" s="18">
        <v>12.21</v>
      </c>
      <c r="G9" s="18">
        <v>12.31</v>
      </c>
      <c r="H9" s="18">
        <v>12.41</v>
      </c>
      <c r="I9" s="21">
        <f t="shared" si="3"/>
        <v>12.21</v>
      </c>
      <c r="J9" s="22">
        <f t="shared" ref="J9:K9" si="18">(G9-F9)/F9</f>
        <v>0.00819000819</v>
      </c>
      <c r="K9" s="22">
        <f t="shared" si="18"/>
        <v>0.008123476848</v>
      </c>
      <c r="L9" s="22">
        <f t="shared" si="5"/>
        <v>0.008156742519</v>
      </c>
      <c r="M9" s="21">
        <f t="shared" si="6"/>
        <v>0.8964609774</v>
      </c>
      <c r="N9" s="23">
        <f t="shared" si="7"/>
        <v>-0.3751016124</v>
      </c>
      <c r="O9" s="23">
        <f t="shared" si="8"/>
        <v>-0.4217655389</v>
      </c>
      <c r="P9" s="24">
        <f t="shared" si="9"/>
        <v>0.09959382616</v>
      </c>
      <c r="Q9" s="25">
        <f t="shared" ref="Q9:R9" si="19">(D9-C9)/C9</f>
        <v>0.03347942058</v>
      </c>
      <c r="R9" s="25">
        <f t="shared" si="19"/>
        <v>0.05191932881</v>
      </c>
      <c r="S9" s="25">
        <f t="shared" si="11"/>
        <v>0.04269937469</v>
      </c>
      <c r="T9" s="25">
        <f t="shared" si="12"/>
        <v>0.0009727827495</v>
      </c>
      <c r="U9" s="25">
        <f t="shared" si="13"/>
        <v>0.0008339153951</v>
      </c>
    </row>
    <row r="10" ht="15.75" customHeight="1">
      <c r="A10" s="18" t="s">
        <v>30</v>
      </c>
      <c r="B10" s="20" t="s">
        <v>31</v>
      </c>
      <c r="C10" s="18">
        <v>263243.87</v>
      </c>
      <c r="D10" s="18">
        <v>284121.28</v>
      </c>
      <c r="E10" s="18">
        <v>299579.06</v>
      </c>
      <c r="F10" s="18">
        <v>1872.9</v>
      </c>
      <c r="G10" s="18">
        <v>1967.64</v>
      </c>
      <c r="H10" s="18">
        <v>2062.38</v>
      </c>
      <c r="I10" s="21">
        <f t="shared" si="3"/>
        <v>1872.9</v>
      </c>
      <c r="J10" s="22">
        <f t="shared" ref="J10:K10" si="20">(G10-F10)/F10</f>
        <v>0.05058465481</v>
      </c>
      <c r="K10" s="22">
        <f t="shared" si="20"/>
        <v>0.04814905166</v>
      </c>
      <c r="L10" s="22">
        <f t="shared" si="5"/>
        <v>0.04936685323</v>
      </c>
      <c r="M10" s="21">
        <f t="shared" si="6"/>
        <v>137.508744</v>
      </c>
      <c r="N10" s="23">
        <f t="shared" si="7"/>
        <v>-12.29244023</v>
      </c>
      <c r="O10" s="23">
        <f t="shared" si="8"/>
        <v>-32.75712438</v>
      </c>
      <c r="P10" s="24">
        <f t="shared" si="9"/>
        <v>92.45917942</v>
      </c>
      <c r="Q10" s="25">
        <f t="shared" ref="Q10:R10" si="21">(D10-C10)/C10</f>
        <v>0.07930824752</v>
      </c>
      <c r="R10" s="25">
        <f t="shared" si="21"/>
        <v>0.05440556934</v>
      </c>
      <c r="S10" s="25">
        <f t="shared" si="11"/>
        <v>0.06685690843</v>
      </c>
      <c r="T10" s="25">
        <f t="shared" si="12"/>
        <v>0.1553722888</v>
      </c>
      <c r="U10" s="25">
        <f t="shared" si="13"/>
        <v>0.08894464046</v>
      </c>
    </row>
    <row r="11" ht="15.75" customHeight="1">
      <c r="A11" s="18" t="s">
        <v>32</v>
      </c>
      <c r="B11" s="20" t="s">
        <v>33</v>
      </c>
      <c r="C11" s="18">
        <v>558385.86</v>
      </c>
      <c r="D11" s="18">
        <v>596083.66</v>
      </c>
      <c r="E11" s="18">
        <v>631235.53</v>
      </c>
      <c r="F11" s="18">
        <v>2297.29</v>
      </c>
      <c r="G11" s="18">
        <v>2243.2</v>
      </c>
      <c r="H11" s="18">
        <v>2189.1099999999997</v>
      </c>
      <c r="I11" s="21">
        <f t="shared" si="3"/>
        <v>2297.29</v>
      </c>
      <c r="J11" s="22">
        <f t="shared" ref="J11:K11" si="22">(G11-F11)/F11</f>
        <v>-0.02354513361</v>
      </c>
      <c r="K11" s="22">
        <f t="shared" si="22"/>
        <v>-0.02411287447</v>
      </c>
      <c r="L11" s="22">
        <f t="shared" si="5"/>
        <v>-0.02382900404</v>
      </c>
      <c r="M11" s="21">
        <f t="shared" si="6"/>
        <v>168.6675544</v>
      </c>
      <c r="N11" s="23">
        <f t="shared" si="7"/>
        <v>-23.38295324</v>
      </c>
      <c r="O11" s="23">
        <f t="shared" si="8"/>
        <v>-200.0267338</v>
      </c>
      <c r="P11" s="24">
        <f t="shared" si="9"/>
        <v>-54.74213269</v>
      </c>
      <c r="Q11" s="25">
        <f t="shared" ref="Q11:R11" si="23">(D11-C11)/C11</f>
        <v>0.06751209638</v>
      </c>
      <c r="R11" s="25">
        <f t="shared" si="23"/>
        <v>0.05897136989</v>
      </c>
      <c r="S11" s="25">
        <f t="shared" si="11"/>
        <v>0.06324173314</v>
      </c>
      <c r="T11" s="25">
        <f t="shared" si="12"/>
        <v>0.1773745517</v>
      </c>
      <c r="U11" s="25">
        <f t="shared" si="13"/>
        <v>0.1875603128</v>
      </c>
    </row>
    <row r="12" ht="15.75" customHeight="1">
      <c r="A12" s="18" t="s">
        <v>34</v>
      </c>
      <c r="B12" s="20" t="s">
        <v>35</v>
      </c>
      <c r="C12" s="18">
        <v>119171.36</v>
      </c>
      <c r="D12" s="18">
        <v>132252.92</v>
      </c>
      <c r="E12" s="18">
        <v>142333.91</v>
      </c>
      <c r="F12" s="18">
        <v>398.55</v>
      </c>
      <c r="G12" s="18">
        <v>447.29</v>
      </c>
      <c r="H12" s="18">
        <v>496.03000000000003</v>
      </c>
      <c r="I12" s="21">
        <f t="shared" si="3"/>
        <v>398.55</v>
      </c>
      <c r="J12" s="22">
        <f t="shared" ref="J12:K12" si="24">(G12-F12)/F12</f>
        <v>0.1222933133</v>
      </c>
      <c r="K12" s="22">
        <f t="shared" si="24"/>
        <v>0.1089673366</v>
      </c>
      <c r="L12" s="22">
        <f t="shared" si="5"/>
        <v>0.1156303249</v>
      </c>
      <c r="M12" s="21">
        <f t="shared" si="6"/>
        <v>29.26163166</v>
      </c>
      <c r="N12" s="23">
        <f t="shared" si="7"/>
        <v>7.80273915</v>
      </c>
      <c r="O12" s="23">
        <f t="shared" si="8"/>
        <v>9.020095199</v>
      </c>
      <c r="P12" s="24">
        <f t="shared" si="9"/>
        <v>46.08446601</v>
      </c>
      <c r="Q12" s="25">
        <f t="shared" ref="Q12:R12" si="25">(D12-C12)/C12</f>
        <v>0.1097710054</v>
      </c>
      <c r="R12" s="25">
        <f t="shared" si="25"/>
        <v>0.07622508448</v>
      </c>
      <c r="S12" s="25">
        <f t="shared" si="11"/>
        <v>0.09299804493</v>
      </c>
      <c r="T12" s="25">
        <f t="shared" si="12"/>
        <v>0.03527892728</v>
      </c>
      <c r="U12" s="25">
        <f t="shared" si="13"/>
        <v>0.04130504136</v>
      </c>
    </row>
    <row r="13" ht="15.75" customHeight="1">
      <c r="A13" s="18" t="s">
        <v>36</v>
      </c>
      <c r="B13" s="20" t="s">
        <v>37</v>
      </c>
      <c r="C13" s="18">
        <v>173189.33</v>
      </c>
      <c r="D13" s="18">
        <v>189716.7</v>
      </c>
      <c r="E13" s="18">
        <v>208494.46</v>
      </c>
      <c r="F13" s="18">
        <v>285.19</v>
      </c>
      <c r="G13" s="18">
        <v>300.77</v>
      </c>
      <c r="H13" s="18">
        <v>316.34999999999997</v>
      </c>
      <c r="I13" s="21">
        <f t="shared" si="3"/>
        <v>285.19</v>
      </c>
      <c r="J13" s="22">
        <f t="shared" ref="J13:K13" si="26">(G13-F13)/F13</f>
        <v>0.0546302465</v>
      </c>
      <c r="K13" s="22">
        <f t="shared" si="26"/>
        <v>0.05180037903</v>
      </c>
      <c r="L13" s="22">
        <f t="shared" si="5"/>
        <v>0.05321531276</v>
      </c>
      <c r="M13" s="21">
        <f t="shared" si="6"/>
        <v>20.93871467</v>
      </c>
      <c r="N13" s="23">
        <f t="shared" si="7"/>
        <v>6.782807148</v>
      </c>
      <c r="O13" s="23">
        <f t="shared" si="8"/>
        <v>-12.54504677</v>
      </c>
      <c r="P13" s="24">
        <f t="shared" si="9"/>
        <v>15.17647505</v>
      </c>
      <c r="Q13" s="25">
        <f t="shared" ref="Q13:R13" si="27">(D13-C13)/C13</f>
        <v>0.09542949326</v>
      </c>
      <c r="R13" s="25">
        <f t="shared" si="27"/>
        <v>0.09897789704</v>
      </c>
      <c r="S13" s="25">
        <f t="shared" si="11"/>
        <v>0.09720369515</v>
      </c>
      <c r="T13" s="25">
        <f t="shared" si="12"/>
        <v>0.02374828927</v>
      </c>
      <c r="U13" s="25">
        <f t="shared" si="13"/>
        <v>0.05992743827</v>
      </c>
    </row>
    <row r="14" ht="15.75" customHeight="1">
      <c r="A14" s="18" t="s">
        <v>38</v>
      </c>
      <c r="B14" s="20" t="s">
        <v>39</v>
      </c>
      <c r="C14" s="18">
        <v>145547.25</v>
      </c>
      <c r="D14" s="18">
        <v>156394.33</v>
      </c>
      <c r="E14" s="18">
        <v>168566.56</v>
      </c>
      <c r="F14" s="18">
        <v>974.54</v>
      </c>
      <c r="G14" s="18">
        <v>1026.53</v>
      </c>
      <c r="H14" s="18">
        <v>1078.52</v>
      </c>
      <c r="I14" s="21">
        <f t="shared" si="3"/>
        <v>974.54</v>
      </c>
      <c r="J14" s="22">
        <f t="shared" ref="J14:K14" si="28">(G14-F14)/F14</f>
        <v>0.05334824635</v>
      </c>
      <c r="K14" s="22">
        <f t="shared" si="28"/>
        <v>0.05064635227</v>
      </c>
      <c r="L14" s="22">
        <f t="shared" si="5"/>
        <v>0.05199729931</v>
      </c>
      <c r="M14" s="21">
        <f t="shared" si="6"/>
        <v>71.55094848</v>
      </c>
      <c r="N14" s="23">
        <f t="shared" si="7"/>
        <v>2.687830249</v>
      </c>
      <c r="O14" s="23">
        <f t="shared" si="8"/>
        <v>-23.56533065</v>
      </c>
      <c r="P14" s="24">
        <f t="shared" si="9"/>
        <v>50.67344807</v>
      </c>
      <c r="Q14" s="25">
        <f t="shared" ref="Q14:R14" si="29">(D14-C14)/C14</f>
        <v>0.07452617621</v>
      </c>
      <c r="R14" s="25">
        <f t="shared" si="29"/>
        <v>0.07783037914</v>
      </c>
      <c r="S14" s="25">
        <f t="shared" si="11"/>
        <v>0.07617827768</v>
      </c>
      <c r="T14" s="25">
        <f t="shared" si="12"/>
        <v>0.08105484432</v>
      </c>
      <c r="U14" s="25">
        <f t="shared" si="13"/>
        <v>0.04939111851</v>
      </c>
    </row>
    <row r="15" ht="15.75" customHeight="1">
      <c r="A15" s="18" t="s">
        <v>40</v>
      </c>
      <c r="B15" s="20" t="s">
        <v>41</v>
      </c>
      <c r="C15" s="18">
        <v>77073.8</v>
      </c>
      <c r="D15" s="18">
        <v>80978.2</v>
      </c>
      <c r="E15" s="18">
        <v>84295.03</v>
      </c>
      <c r="F15" s="18">
        <v>220.45</v>
      </c>
      <c r="G15" s="18">
        <v>229.2</v>
      </c>
      <c r="H15" s="18">
        <v>237.95</v>
      </c>
      <c r="I15" s="21">
        <f t="shared" si="3"/>
        <v>220.45</v>
      </c>
      <c r="J15" s="22">
        <f t="shared" ref="J15:K15" si="30">(G15-F15)/F15</f>
        <v>0.03969154003</v>
      </c>
      <c r="K15" s="22">
        <f t="shared" si="30"/>
        <v>0.03817626527</v>
      </c>
      <c r="L15" s="22">
        <f t="shared" si="5"/>
        <v>0.03893390265</v>
      </c>
      <c r="M15" s="21">
        <f t="shared" si="6"/>
        <v>16.18548915</v>
      </c>
      <c r="N15" s="23">
        <f t="shared" si="7"/>
        <v>-6.086952079</v>
      </c>
      <c r="O15" s="23">
        <f t="shared" si="8"/>
        <v>-1.515558227</v>
      </c>
      <c r="P15" s="24">
        <f t="shared" si="9"/>
        <v>8.582978839</v>
      </c>
      <c r="Q15" s="25">
        <f t="shared" ref="Q15:R15" si="31">(D15-C15)/C15</f>
        <v>0.05065794083</v>
      </c>
      <c r="R15" s="25">
        <f t="shared" si="31"/>
        <v>0.0409595422</v>
      </c>
      <c r="S15" s="25">
        <f t="shared" si="11"/>
        <v>0.04580874151</v>
      </c>
      <c r="T15" s="25">
        <f t="shared" si="12"/>
        <v>0.01810192463</v>
      </c>
      <c r="U15" s="25">
        <f t="shared" si="13"/>
        <v>0.02547461212</v>
      </c>
    </row>
    <row r="16" ht="15.75" customHeight="1">
      <c r="A16" s="18" t="s">
        <v>42</v>
      </c>
      <c r="B16" s="20" t="s">
        <v>43</v>
      </c>
      <c r="C16" s="18">
        <v>46496.44</v>
      </c>
      <c r="D16" s="18">
        <v>48278.29</v>
      </c>
      <c r="E16" s="18">
        <v>51192.48</v>
      </c>
      <c r="F16" s="18">
        <v>208.26</v>
      </c>
      <c r="G16" s="18">
        <v>214.98</v>
      </c>
      <c r="H16" s="18">
        <v>221.7</v>
      </c>
      <c r="I16" s="21">
        <f t="shared" si="3"/>
        <v>208.26</v>
      </c>
      <c r="J16" s="22">
        <f t="shared" ref="J16:K16" si="32">(G16-F16)/F16</f>
        <v>0.03226735811</v>
      </c>
      <c r="K16" s="22">
        <f t="shared" si="32"/>
        <v>0.03125872174</v>
      </c>
      <c r="L16" s="22">
        <f t="shared" si="5"/>
        <v>0.03176303993</v>
      </c>
      <c r="M16" s="21">
        <f t="shared" si="6"/>
        <v>15.29049657</v>
      </c>
      <c r="N16" s="23">
        <f t="shared" si="7"/>
        <v>-5.014467378</v>
      </c>
      <c r="O16" s="23">
        <f t="shared" si="8"/>
        <v>-3.661058499</v>
      </c>
      <c r="P16" s="24">
        <f t="shared" si="9"/>
        <v>6.614970695</v>
      </c>
      <c r="Q16" s="25">
        <f t="shared" ref="Q16:R16" si="33">(D16-C16)/C16</f>
        <v>0.03832228876</v>
      </c>
      <c r="R16" s="25">
        <f t="shared" si="33"/>
        <v>0.06036232849</v>
      </c>
      <c r="S16" s="25">
        <f t="shared" si="11"/>
        <v>0.04934230863</v>
      </c>
      <c r="T16" s="25">
        <f t="shared" si="12"/>
        <v>0.01698107649</v>
      </c>
      <c r="U16" s="25">
        <f t="shared" si="13"/>
        <v>0.01534103831</v>
      </c>
    </row>
    <row r="17" ht="15.75" customHeight="1">
      <c r="A17" s="18" t="s">
        <v>44</v>
      </c>
      <c r="B17" s="20" t="s">
        <v>45</v>
      </c>
      <c r="C17" s="18">
        <v>23816.58</v>
      </c>
      <c r="D17" s="18">
        <v>26186.87</v>
      </c>
      <c r="E17" s="18">
        <v>29409.51</v>
      </c>
      <c r="F17" s="18">
        <v>34.44</v>
      </c>
      <c r="G17" s="18">
        <v>37.17</v>
      </c>
      <c r="H17" s="18">
        <v>39.900000000000006</v>
      </c>
      <c r="I17" s="21">
        <f t="shared" si="3"/>
        <v>34.44</v>
      </c>
      <c r="J17" s="22">
        <f t="shared" ref="J17:K17" si="34">(G17-F17)/F17</f>
        <v>0.07926829268</v>
      </c>
      <c r="K17" s="22">
        <f t="shared" si="34"/>
        <v>0.07344632768</v>
      </c>
      <c r="L17" s="22">
        <f t="shared" si="5"/>
        <v>0.07635731018</v>
      </c>
      <c r="M17" s="21">
        <f t="shared" si="6"/>
        <v>2.528592634</v>
      </c>
      <c r="N17" s="23">
        <f t="shared" si="7"/>
        <v>1.3043363</v>
      </c>
      <c r="O17" s="23">
        <f t="shared" si="8"/>
        <v>-1.203183172</v>
      </c>
      <c r="P17" s="24">
        <f t="shared" si="9"/>
        <v>2.629745763</v>
      </c>
      <c r="Q17" s="25">
        <f t="shared" ref="Q17:R17" si="35">(D17-C17)/C17</f>
        <v>0.09952268546</v>
      </c>
      <c r="R17" s="25">
        <f t="shared" si="35"/>
        <v>0.1230631992</v>
      </c>
      <c r="S17" s="25">
        <f t="shared" si="11"/>
        <v>0.1112929423</v>
      </c>
      <c r="T17" s="25">
        <f t="shared" si="12"/>
        <v>0.00293367402</v>
      </c>
      <c r="U17" s="25">
        <f t="shared" si="13"/>
        <v>0.008323604787</v>
      </c>
    </row>
    <row r="18" ht="15.75" customHeight="1">
      <c r="A18" s="18" t="s">
        <v>46</v>
      </c>
      <c r="B18" s="20" t="s">
        <v>47</v>
      </c>
      <c r="C18" s="18">
        <v>60369.97</v>
      </c>
      <c r="D18" s="18">
        <v>68203.9</v>
      </c>
      <c r="E18" s="18">
        <v>71165.83</v>
      </c>
      <c r="F18" s="18">
        <v>455.28</v>
      </c>
      <c r="G18" s="18">
        <v>496.45</v>
      </c>
      <c r="H18" s="18">
        <v>537.62</v>
      </c>
      <c r="I18" s="21">
        <f t="shared" si="3"/>
        <v>455.28</v>
      </c>
      <c r="J18" s="22">
        <f t="shared" ref="J18:K18" si="36">(G18-F18)/F18</f>
        <v>0.09042786856</v>
      </c>
      <c r="K18" s="22">
        <f t="shared" si="36"/>
        <v>0.08292879444</v>
      </c>
      <c r="L18" s="22">
        <f t="shared" si="5"/>
        <v>0.0866783315</v>
      </c>
      <c r="M18" s="21">
        <f t="shared" si="6"/>
        <v>33.42676116</v>
      </c>
      <c r="N18" s="23">
        <f t="shared" si="7"/>
        <v>5.998875263</v>
      </c>
      <c r="O18" s="23">
        <f t="shared" si="8"/>
        <v>0.03727434164</v>
      </c>
      <c r="P18" s="24">
        <f t="shared" si="9"/>
        <v>39.46291077</v>
      </c>
      <c r="Q18" s="25">
        <f t="shared" ref="Q18:R18" si="37">(D18-C18)/C18</f>
        <v>0.1297653453</v>
      </c>
      <c r="R18" s="25">
        <f t="shared" si="37"/>
        <v>0.04342757526</v>
      </c>
      <c r="S18" s="25">
        <f t="shared" si="11"/>
        <v>0.08659646025</v>
      </c>
      <c r="T18" s="25">
        <f t="shared" si="12"/>
        <v>0.03917568337</v>
      </c>
      <c r="U18" s="25">
        <f t="shared" si="13"/>
        <v>0.02095948987</v>
      </c>
    </row>
    <row r="19" ht="15.75" customHeight="1">
      <c r="A19" s="18" t="s">
        <v>48</v>
      </c>
      <c r="B19" s="20" t="s">
        <v>49</v>
      </c>
      <c r="C19" s="18">
        <v>72543.67</v>
      </c>
      <c r="D19" s="18">
        <v>77115.59</v>
      </c>
      <c r="E19" s="18">
        <v>83169.6</v>
      </c>
      <c r="F19" s="18">
        <v>607.36</v>
      </c>
      <c r="G19" s="18">
        <v>636.18</v>
      </c>
      <c r="H19" s="18">
        <v>664.9999999999999</v>
      </c>
      <c r="I19" s="21">
        <f t="shared" si="3"/>
        <v>607.36</v>
      </c>
      <c r="J19" s="22">
        <f t="shared" ref="J19:K19" si="38">(G19-F19)/F19</f>
        <v>0.04745126449</v>
      </c>
      <c r="K19" s="22">
        <f t="shared" si="38"/>
        <v>0.04530164419</v>
      </c>
      <c r="L19" s="22">
        <f t="shared" si="5"/>
        <v>0.04637645434</v>
      </c>
      <c r="M19" s="21">
        <f t="shared" si="6"/>
        <v>44.59250936</v>
      </c>
      <c r="N19" s="23">
        <f t="shared" si="7"/>
        <v>-1.61308583</v>
      </c>
      <c r="O19" s="23">
        <f t="shared" si="8"/>
        <v>-14.81222022</v>
      </c>
      <c r="P19" s="24">
        <f t="shared" si="9"/>
        <v>28.16720331</v>
      </c>
      <c r="Q19" s="25">
        <f t="shared" ref="Q19:R19" si="39">(D19-C19)/C19</f>
        <v>0.06302300394</v>
      </c>
      <c r="R19" s="25">
        <f t="shared" si="39"/>
        <v>0.07850565625</v>
      </c>
      <c r="S19" s="25">
        <f t="shared" si="11"/>
        <v>0.07076433009</v>
      </c>
      <c r="T19" s="25">
        <f t="shared" si="12"/>
        <v>0.05023789211</v>
      </c>
      <c r="U19" s="25">
        <f t="shared" si="13"/>
        <v>0.02444673267</v>
      </c>
    </row>
    <row r="20" ht="15.75" customHeight="1">
      <c r="A20" s="18" t="s">
        <v>50</v>
      </c>
      <c r="B20" s="20" t="s">
        <v>51</v>
      </c>
      <c r="C20" s="18">
        <v>20154.16</v>
      </c>
      <c r="D20" s="18">
        <v>21473.36</v>
      </c>
      <c r="E20" s="18">
        <v>23719.81</v>
      </c>
      <c r="F20" s="18">
        <v>142.7</v>
      </c>
      <c r="G20" s="18">
        <v>150.12</v>
      </c>
      <c r="H20" s="18">
        <v>157.54000000000002</v>
      </c>
      <c r="I20" s="21">
        <f t="shared" si="3"/>
        <v>142.7</v>
      </c>
      <c r="J20" s="22">
        <f t="shared" ref="J20:K20" si="40">(G20-F20)/F20</f>
        <v>0.05199719692</v>
      </c>
      <c r="K20" s="22">
        <f t="shared" si="40"/>
        <v>0.04942712497</v>
      </c>
      <c r="L20" s="22">
        <f t="shared" si="5"/>
        <v>0.05071216094</v>
      </c>
      <c r="M20" s="21">
        <f t="shared" si="6"/>
        <v>10.47706646</v>
      </c>
      <c r="N20" s="23">
        <f t="shared" si="7"/>
        <v>1.657509513</v>
      </c>
      <c r="O20" s="23">
        <f t="shared" si="8"/>
        <v>-4.897950606</v>
      </c>
      <c r="P20" s="24">
        <f t="shared" si="9"/>
        <v>7.236625366</v>
      </c>
      <c r="Q20" s="25">
        <f t="shared" ref="Q20:R20" si="41">(D20-C20)/C20</f>
        <v>0.06545546924</v>
      </c>
      <c r="R20" s="25">
        <f t="shared" si="41"/>
        <v>0.1046156726</v>
      </c>
      <c r="S20" s="25">
        <f t="shared" si="11"/>
        <v>0.08503557094</v>
      </c>
      <c r="T20" s="25">
        <f t="shared" si="12"/>
        <v>0.01185375478</v>
      </c>
      <c r="U20" s="25">
        <f t="shared" si="13"/>
        <v>0.006857070496</v>
      </c>
    </row>
    <row r="21" ht="15.75" customHeight="1">
      <c r="A21" s="18" t="s">
        <v>52</v>
      </c>
      <c r="B21" s="20" t="s">
        <v>53</v>
      </c>
      <c r="C21" s="18">
        <v>40663.65</v>
      </c>
      <c r="D21" s="18">
        <v>45132.22</v>
      </c>
      <c r="E21" s="18">
        <v>51099.95</v>
      </c>
      <c r="F21" s="18">
        <v>347.81</v>
      </c>
      <c r="G21" s="18">
        <v>371.45</v>
      </c>
      <c r="H21" s="18">
        <v>395.09</v>
      </c>
      <c r="I21" s="21">
        <f t="shared" si="3"/>
        <v>347.81</v>
      </c>
      <c r="J21" s="22">
        <f t="shared" ref="J21:K21" si="42">(G21-F21)/F21</f>
        <v>0.06796814353</v>
      </c>
      <c r="K21" s="22">
        <f t="shared" si="42"/>
        <v>0.06364248216</v>
      </c>
      <c r="L21" s="22">
        <f t="shared" si="5"/>
        <v>0.06580531285</v>
      </c>
      <c r="M21" s="21">
        <f t="shared" si="6"/>
        <v>25.53628932</v>
      </c>
      <c r="N21" s="23">
        <f t="shared" si="7"/>
        <v>16.56936815</v>
      </c>
      <c r="O21" s="23">
        <f t="shared" si="8"/>
        <v>-19.21791161</v>
      </c>
      <c r="P21" s="24">
        <f t="shared" si="9"/>
        <v>22.88774586</v>
      </c>
      <c r="Q21" s="25">
        <f t="shared" ref="Q21:R21" si="43">(D21-C21)/C21</f>
        <v>0.1098910206</v>
      </c>
      <c r="R21" s="25">
        <f t="shared" si="43"/>
        <v>0.1322277078</v>
      </c>
      <c r="S21" s="25">
        <f t="shared" si="11"/>
        <v>0.1210593642</v>
      </c>
      <c r="T21" s="25">
        <f t="shared" si="12"/>
        <v>0.02932246799</v>
      </c>
      <c r="U21" s="25">
        <f t="shared" si="13"/>
        <v>0.01434269936</v>
      </c>
    </row>
    <row r="22" ht="15.75" customHeight="1">
      <c r="A22" s="20"/>
      <c r="B22" s="20" t="s">
        <v>54</v>
      </c>
      <c r="C22" s="18">
        <v>2953546.98</v>
      </c>
      <c r="D22" s="18">
        <v>3168295.58</v>
      </c>
      <c r="E22" s="18">
        <v>3403166.85</v>
      </c>
      <c r="F22" s="18">
        <v>12244.97</v>
      </c>
      <c r="G22" s="18">
        <v>12775.82</v>
      </c>
      <c r="H22" s="18">
        <v>12958.600000000004</v>
      </c>
      <c r="I22" s="20" t="s">
        <v>55</v>
      </c>
      <c r="J22" s="26"/>
      <c r="K22" s="26"/>
      <c r="L22" s="26"/>
      <c r="M22" s="27">
        <f t="shared" ref="M22:P22" si="44">SUM(M5:M21)</f>
        <v>898.9543283</v>
      </c>
      <c r="N22" s="27">
        <f t="shared" si="44"/>
        <v>-82.4557406</v>
      </c>
      <c r="O22" s="27">
        <f t="shared" si="44"/>
        <v>-472.8202217</v>
      </c>
      <c r="P22" s="27">
        <f t="shared" si="44"/>
        <v>343.678366</v>
      </c>
      <c r="Q22" s="28">
        <f t="shared" ref="Q22:R22" si="45">(D22-C22)/C22</f>
        <v>0.0727087131</v>
      </c>
      <c r="R22" s="28">
        <f t="shared" si="45"/>
        <v>0.07413174184</v>
      </c>
      <c r="S22" s="28">
        <f t="shared" si="11"/>
        <v>0.07342022747</v>
      </c>
      <c r="T22" s="1"/>
      <c r="U22" s="1"/>
    </row>
    <row r="23" ht="19.5" customHeight="1">
      <c r="A23" s="29"/>
      <c r="B23" s="29"/>
      <c r="C23" s="30"/>
      <c r="D23" s="30"/>
      <c r="E23" s="30"/>
      <c r="F23" s="30"/>
      <c r="G23" s="30"/>
      <c r="H23" s="30"/>
      <c r="I23" s="30"/>
      <c r="J23" s="31"/>
      <c r="K23" s="31"/>
      <c r="L23" s="31"/>
      <c r="M23" s="30"/>
      <c r="N23" s="30"/>
      <c r="O23" s="30"/>
      <c r="P23" s="30"/>
      <c r="Q23" s="30"/>
      <c r="R23" s="30"/>
      <c r="S23" s="30"/>
      <c r="T23" s="30"/>
      <c r="U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</row>
  </sheetData>
  <mergeCells count="9">
    <mergeCell ref="Q1:U1"/>
    <mergeCell ref="Q2:U2"/>
    <mergeCell ref="I1:P1"/>
    <mergeCell ref="A2:A4"/>
    <mergeCell ref="B2:B4"/>
    <mergeCell ref="C2:E3"/>
    <mergeCell ref="F2:H3"/>
    <mergeCell ref="I2:O3"/>
    <mergeCell ref="P2:P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0"/>
    <col customWidth="1" min="2" max="2" width="32.0"/>
    <col customWidth="1" min="3" max="6" width="10.0"/>
    <col customWidth="1" min="7" max="7" width="9.0"/>
    <col customWidth="1" min="8" max="8" width="30.0"/>
  </cols>
  <sheetData>
    <row r="1" ht="15.75" customHeight="1">
      <c r="A1" s="32" t="s">
        <v>56</v>
      </c>
    </row>
    <row r="2" ht="30.0" customHeight="1">
      <c r="A2" s="33" t="s">
        <v>57</v>
      </c>
    </row>
    <row r="3" ht="15.75" customHeight="1">
      <c r="A3" s="30"/>
      <c r="B3" s="30"/>
      <c r="C3" s="30"/>
      <c r="D3" s="30"/>
      <c r="E3" s="30"/>
      <c r="F3" s="30"/>
      <c r="G3" s="30"/>
      <c r="H3" s="30"/>
    </row>
    <row r="4" ht="15.75" customHeight="1">
      <c r="A4" s="34" t="s">
        <v>58</v>
      </c>
      <c r="B4" s="34" t="s">
        <v>59</v>
      </c>
      <c r="C4" s="34" t="s">
        <v>60</v>
      </c>
      <c r="D4" s="34" t="s">
        <v>61</v>
      </c>
      <c r="E4" s="34" t="s">
        <v>62</v>
      </c>
      <c r="F4" s="34" t="s">
        <v>63</v>
      </c>
      <c r="G4" s="34" t="s">
        <v>64</v>
      </c>
      <c r="H4" s="34" t="s">
        <v>65</v>
      </c>
    </row>
    <row r="5" ht="15.75" customHeight="1">
      <c r="A5" s="35" t="str">
        <f>'Analisis SSA'!A5</f>
        <v>A</v>
      </c>
      <c r="B5" s="36" t="str">
        <f>'Analisis SSA'!B5</f>
        <v>Pertanian, Kehutanan, dan Perikanan</v>
      </c>
      <c r="C5" s="25">
        <f>'Analisis SSA'!L5</f>
        <v>-0.003425996176</v>
      </c>
      <c r="D5" s="25">
        <f>'Analisis SSA'!S5</f>
        <v>0.05878213741</v>
      </c>
      <c r="E5" s="25">
        <f>'Analisis SSA'!T5</f>
        <v>0.2227149099</v>
      </c>
      <c r="F5" s="25">
        <f>'Analisis SSA'!U5</f>
        <v>0.1081183691</v>
      </c>
      <c r="G5" s="37" t="str">
        <f t="shared" ref="G5:G21" si="1">IF(AND(C5&gt;D5,E5&gt;F5),"I",IF(AND(C5&lt;D5,E5&gt;F5),"II",IF(AND(C5&gt;D5,E5&lt;F5),"III","IV")))</f>
        <v>II</v>
      </c>
      <c r="H5" s="37" t="str">
        <f t="shared" ref="H5:H21" si="2">IF(G5="I","Maju dan Tumbuh Pesat (Prima)",IF(G5="II","Maju tapi Tertekan (Stagnan)",IF(G5="III","Potensial/Berkembang Cepat","Relatif Tertinggal")))</f>
        <v>Maju tapi Tertekan (Stagnan)</v>
      </c>
    </row>
    <row r="6" ht="15.75" customHeight="1">
      <c r="A6" s="35" t="str">
        <f>'Analisis SSA'!A6</f>
        <v>B</v>
      </c>
      <c r="B6" s="36" t="str">
        <f>'Analisis SSA'!B6</f>
        <v>Pertambangan dan Penggalian</v>
      </c>
      <c r="C6" s="25">
        <f>'Analisis SSA'!L6</f>
        <v>0.03948799777</v>
      </c>
      <c r="D6" s="25">
        <f>'Analisis SSA'!S6</f>
        <v>0.001769149492</v>
      </c>
      <c r="E6" s="25">
        <f>'Analisis SSA'!T6</f>
        <v>0.05457848874</v>
      </c>
      <c r="F6" s="25">
        <f>'Analisis SSA'!U6</f>
        <v>0.03572203591</v>
      </c>
      <c r="G6" s="37" t="str">
        <f t="shared" si="1"/>
        <v>I</v>
      </c>
      <c r="H6" s="37" t="str">
        <f t="shared" si="2"/>
        <v>Maju dan Tumbuh Pesat (Prima)</v>
      </c>
    </row>
    <row r="7" ht="15.75" customHeight="1">
      <c r="A7" s="35" t="str">
        <f>'Analisis SSA'!A7</f>
        <v>C</v>
      </c>
      <c r="B7" s="36" t="str">
        <f>'Analisis SSA'!B7</f>
        <v>Industri Pengolahan</v>
      </c>
      <c r="C7" s="25">
        <f>'Analisis SSA'!L7</f>
        <v>0.06898529483</v>
      </c>
      <c r="D7" s="25">
        <f>'Analisis SSA'!S7</f>
        <v>0.08744885703</v>
      </c>
      <c r="E7" s="25">
        <f>'Analisis SSA'!T7</f>
        <v>0.07526399763</v>
      </c>
      <c r="F7" s="25">
        <f>'Analisis SSA'!U7</f>
        <v>0.308931007</v>
      </c>
      <c r="G7" s="37" t="str">
        <f t="shared" si="1"/>
        <v>IV</v>
      </c>
      <c r="H7" s="37" t="str">
        <f t="shared" si="2"/>
        <v>Relatif Tertinggal</v>
      </c>
    </row>
    <row r="8" ht="15.75" customHeight="1">
      <c r="A8" s="35" t="str">
        <f>'Analisis SSA'!A8</f>
        <v>D</v>
      </c>
      <c r="B8" s="36" t="str">
        <f>'Analisis SSA'!B8</f>
        <v>Pengadaan Listrik dan Gas</v>
      </c>
      <c r="C8" s="25">
        <f>'Analisis SSA'!L8</f>
        <v>0.07605905006</v>
      </c>
      <c r="D8" s="25">
        <f>'Analisis SSA'!S8</f>
        <v>0.07468060922</v>
      </c>
      <c r="E8" s="25">
        <f>'Analisis SSA'!T8</f>
        <v>0.0004530367776</v>
      </c>
      <c r="F8" s="25">
        <f>'Analisis SSA'!U8</f>
        <v>0.003520873725</v>
      </c>
      <c r="G8" s="37" t="str">
        <f t="shared" si="1"/>
        <v>III</v>
      </c>
      <c r="H8" s="37" t="str">
        <f t="shared" si="2"/>
        <v>Potensial/Berkembang Cepat</v>
      </c>
    </row>
    <row r="9" ht="23.25" customHeight="1">
      <c r="A9" s="35" t="str">
        <f>'Analisis SSA'!A9</f>
        <v>E</v>
      </c>
      <c r="B9" s="36" t="str">
        <f>'Analisis SSA'!B9</f>
        <v>Pengadaan Air, Pengelolaan Sampah, Limbah dan Daur Ulang</v>
      </c>
      <c r="C9" s="25">
        <f>'Analisis SSA'!L9</f>
        <v>0.008156742519</v>
      </c>
      <c r="D9" s="25">
        <f>'Analisis SSA'!S9</f>
        <v>0.04269937469</v>
      </c>
      <c r="E9" s="25">
        <f>'Analisis SSA'!T9</f>
        <v>0.0009727827495</v>
      </c>
      <c r="F9" s="25">
        <f>'Analisis SSA'!U9</f>
        <v>0.0008339153951</v>
      </c>
      <c r="G9" s="37" t="str">
        <f t="shared" si="1"/>
        <v>II</v>
      </c>
      <c r="H9" s="37" t="str">
        <f t="shared" si="2"/>
        <v>Maju tapi Tertekan (Stagnan)</v>
      </c>
    </row>
    <row r="10" ht="15.75" customHeight="1">
      <c r="A10" s="35" t="str">
        <f>'Analisis SSA'!A10</f>
        <v>F</v>
      </c>
      <c r="B10" s="36" t="str">
        <f>'Analisis SSA'!B10</f>
        <v>Konstruksi</v>
      </c>
      <c r="C10" s="25">
        <f>'Analisis SSA'!L10</f>
        <v>0.04936685323</v>
      </c>
      <c r="D10" s="25">
        <f>'Analisis SSA'!S10</f>
        <v>0.06685690843</v>
      </c>
      <c r="E10" s="25">
        <f>'Analisis SSA'!T10</f>
        <v>0.1553722888</v>
      </c>
      <c r="F10" s="25">
        <f>'Analisis SSA'!U10</f>
        <v>0.08894464046</v>
      </c>
      <c r="G10" s="37" t="str">
        <f t="shared" si="1"/>
        <v>II</v>
      </c>
      <c r="H10" s="37" t="str">
        <f t="shared" si="2"/>
        <v>Maju tapi Tertekan (Stagnan)</v>
      </c>
    </row>
    <row r="11" ht="15.75" customHeight="1">
      <c r="A11" s="35" t="str">
        <f>'Analisis SSA'!A11</f>
        <v>G</v>
      </c>
      <c r="B11" s="36" t="str">
        <f>'Analisis SSA'!B11</f>
        <v>Perdagangan Besar dan Eceran</v>
      </c>
      <c r="C11" s="25">
        <f>'Analisis SSA'!L11</f>
        <v>-0.02382900404</v>
      </c>
      <c r="D11" s="25">
        <f>'Analisis SSA'!S11</f>
        <v>0.06324173314</v>
      </c>
      <c r="E11" s="25">
        <f>'Analisis SSA'!T11</f>
        <v>0.1773745517</v>
      </c>
      <c r="F11" s="25">
        <f>'Analisis SSA'!U11</f>
        <v>0.1875603128</v>
      </c>
      <c r="G11" s="37" t="str">
        <f t="shared" si="1"/>
        <v>IV</v>
      </c>
      <c r="H11" s="37" t="str">
        <f t="shared" si="2"/>
        <v>Relatif Tertinggal</v>
      </c>
    </row>
    <row r="12" ht="15.75" customHeight="1">
      <c r="A12" s="35" t="str">
        <f>'Analisis SSA'!A12</f>
        <v>H</v>
      </c>
      <c r="B12" s="36" t="str">
        <f>'Analisis SSA'!B12</f>
        <v>Transportasi dan Pergudangan</v>
      </c>
      <c r="C12" s="25">
        <f>'Analisis SSA'!L12</f>
        <v>0.1156303249</v>
      </c>
      <c r="D12" s="25">
        <f>'Analisis SSA'!S12</f>
        <v>0.09299804493</v>
      </c>
      <c r="E12" s="25">
        <f>'Analisis SSA'!T12</f>
        <v>0.03527892728</v>
      </c>
      <c r="F12" s="25">
        <f>'Analisis SSA'!U12</f>
        <v>0.04130504136</v>
      </c>
      <c r="G12" s="37" t="str">
        <f t="shared" si="1"/>
        <v>III</v>
      </c>
      <c r="H12" s="37" t="str">
        <f t="shared" si="2"/>
        <v>Potensial/Berkembang Cepat</v>
      </c>
    </row>
    <row r="13" ht="23.25" customHeight="1">
      <c r="A13" s="35" t="str">
        <f>'Analisis SSA'!A13</f>
        <v>I</v>
      </c>
      <c r="B13" s="36" t="str">
        <f>'Analisis SSA'!B13</f>
        <v>Penyediaan Akomodasi dan Makan Minum</v>
      </c>
      <c r="C13" s="25">
        <f>'Analisis SSA'!L13</f>
        <v>0.05321531276</v>
      </c>
      <c r="D13" s="25">
        <f>'Analisis SSA'!S13</f>
        <v>0.09720369515</v>
      </c>
      <c r="E13" s="25">
        <f>'Analisis SSA'!T13</f>
        <v>0.02374828927</v>
      </c>
      <c r="F13" s="25">
        <f>'Analisis SSA'!U13</f>
        <v>0.05992743827</v>
      </c>
      <c r="G13" s="37" t="str">
        <f t="shared" si="1"/>
        <v>IV</v>
      </c>
      <c r="H13" s="37" t="str">
        <f t="shared" si="2"/>
        <v>Relatif Tertinggal</v>
      </c>
    </row>
    <row r="14" ht="15.75" customHeight="1">
      <c r="A14" s="35" t="str">
        <f>'Analisis SSA'!A14</f>
        <v>J</v>
      </c>
      <c r="B14" s="36" t="str">
        <f>'Analisis SSA'!B14</f>
        <v>Informasi dan Komunikasi</v>
      </c>
      <c r="C14" s="25">
        <f>'Analisis SSA'!L14</f>
        <v>0.05199729931</v>
      </c>
      <c r="D14" s="25">
        <f>'Analisis SSA'!S14</f>
        <v>0.07617827768</v>
      </c>
      <c r="E14" s="25">
        <f>'Analisis SSA'!T14</f>
        <v>0.08105484432</v>
      </c>
      <c r="F14" s="25">
        <f>'Analisis SSA'!U14</f>
        <v>0.04939111851</v>
      </c>
      <c r="G14" s="37" t="str">
        <f t="shared" si="1"/>
        <v>II</v>
      </c>
      <c r="H14" s="37" t="str">
        <f t="shared" si="2"/>
        <v>Maju tapi Tertekan (Stagnan)</v>
      </c>
    </row>
    <row r="15" ht="15.75" customHeight="1">
      <c r="A15" s="35" t="str">
        <f>'Analisis SSA'!A15</f>
        <v>K</v>
      </c>
      <c r="B15" s="36" t="str">
        <f>'Analisis SSA'!B15</f>
        <v>Jasa Keuangan dan Asuransi</v>
      </c>
      <c r="C15" s="25">
        <f>'Analisis SSA'!L15</f>
        <v>0.03893390265</v>
      </c>
      <c r="D15" s="25">
        <f>'Analisis SSA'!S15</f>
        <v>0.04580874151</v>
      </c>
      <c r="E15" s="25">
        <f>'Analisis SSA'!T15</f>
        <v>0.01810192463</v>
      </c>
      <c r="F15" s="25">
        <f>'Analisis SSA'!U15</f>
        <v>0.02547461212</v>
      </c>
      <c r="G15" s="37" t="str">
        <f t="shared" si="1"/>
        <v>IV</v>
      </c>
      <c r="H15" s="37" t="str">
        <f t="shared" si="2"/>
        <v>Relatif Tertinggal</v>
      </c>
    </row>
    <row r="16" ht="15.75" customHeight="1">
      <c r="A16" s="35" t="str">
        <f>'Analisis SSA'!A16</f>
        <v>L</v>
      </c>
      <c r="B16" s="36" t="str">
        <f>'Analisis SSA'!B16</f>
        <v>Real Estate</v>
      </c>
      <c r="C16" s="25">
        <f>'Analisis SSA'!L16</f>
        <v>0.03176303993</v>
      </c>
      <c r="D16" s="25">
        <f>'Analisis SSA'!S16</f>
        <v>0.04934230863</v>
      </c>
      <c r="E16" s="25">
        <f>'Analisis SSA'!T16</f>
        <v>0.01698107649</v>
      </c>
      <c r="F16" s="25">
        <f>'Analisis SSA'!U16</f>
        <v>0.01534103831</v>
      </c>
      <c r="G16" s="37" t="str">
        <f t="shared" si="1"/>
        <v>II</v>
      </c>
      <c r="H16" s="37" t="str">
        <f t="shared" si="2"/>
        <v>Maju tapi Tertekan (Stagnan)</v>
      </c>
    </row>
    <row r="17" ht="15.75" customHeight="1">
      <c r="A17" s="35" t="str">
        <f>'Analisis SSA'!A17</f>
        <v>M,N</v>
      </c>
      <c r="B17" s="36" t="str">
        <f>'Analisis SSA'!B17</f>
        <v>Jasa Perusahaan</v>
      </c>
      <c r="C17" s="25">
        <f>'Analisis SSA'!L17</f>
        <v>0.07635731018</v>
      </c>
      <c r="D17" s="25">
        <f>'Analisis SSA'!S17</f>
        <v>0.1112929423</v>
      </c>
      <c r="E17" s="25">
        <f>'Analisis SSA'!T17</f>
        <v>0.00293367402</v>
      </c>
      <c r="F17" s="25">
        <f>'Analisis SSA'!U17</f>
        <v>0.008323604787</v>
      </c>
      <c r="G17" s="37" t="str">
        <f t="shared" si="1"/>
        <v>IV</v>
      </c>
      <c r="H17" s="37" t="str">
        <f t="shared" si="2"/>
        <v>Relatif Tertinggal</v>
      </c>
    </row>
    <row r="18" ht="23.25" customHeight="1">
      <c r="A18" s="35" t="str">
        <f>'Analisis SSA'!A18</f>
        <v>O</v>
      </c>
      <c r="B18" s="36" t="str">
        <f>'Analisis SSA'!B18</f>
        <v>Administrasi Pemerintahan, Pertahanan dan Jaminan Sosial Wajib</v>
      </c>
      <c r="C18" s="25">
        <f>'Analisis SSA'!L18</f>
        <v>0.0866783315</v>
      </c>
      <c r="D18" s="25">
        <f>'Analisis SSA'!S18</f>
        <v>0.08659646025</v>
      </c>
      <c r="E18" s="25">
        <f>'Analisis SSA'!T18</f>
        <v>0.03917568337</v>
      </c>
      <c r="F18" s="25">
        <f>'Analisis SSA'!U18</f>
        <v>0.02095948987</v>
      </c>
      <c r="G18" s="37" t="str">
        <f t="shared" si="1"/>
        <v>I</v>
      </c>
      <c r="H18" s="37" t="str">
        <f t="shared" si="2"/>
        <v>Maju dan Tumbuh Pesat (Prima)</v>
      </c>
    </row>
    <row r="19" ht="15.75" customHeight="1">
      <c r="A19" s="35" t="str">
        <f>'Analisis SSA'!A19</f>
        <v>P</v>
      </c>
      <c r="B19" s="36" t="str">
        <f>'Analisis SSA'!B19</f>
        <v>Jasa Pendidikan</v>
      </c>
      <c r="C19" s="25">
        <f>'Analisis SSA'!L19</f>
        <v>0.04637645434</v>
      </c>
      <c r="D19" s="25">
        <f>'Analisis SSA'!S19</f>
        <v>0.07076433009</v>
      </c>
      <c r="E19" s="25">
        <f>'Analisis SSA'!T19</f>
        <v>0.05023789211</v>
      </c>
      <c r="F19" s="25">
        <f>'Analisis SSA'!U19</f>
        <v>0.02444673267</v>
      </c>
      <c r="G19" s="37" t="str">
        <f t="shared" si="1"/>
        <v>II</v>
      </c>
      <c r="H19" s="37" t="str">
        <f t="shared" si="2"/>
        <v>Maju tapi Tertekan (Stagnan)</v>
      </c>
    </row>
    <row r="20" ht="15.75" customHeight="1">
      <c r="A20" s="35" t="str">
        <f>'Analisis SSA'!A20</f>
        <v>Q</v>
      </c>
      <c r="B20" s="36" t="str">
        <f>'Analisis SSA'!B20</f>
        <v>Jasa Kesehatan dan Kegiatan Sosial</v>
      </c>
      <c r="C20" s="25">
        <f>'Analisis SSA'!L20</f>
        <v>0.05071216094</v>
      </c>
      <c r="D20" s="25">
        <f>'Analisis SSA'!S20</f>
        <v>0.08503557094</v>
      </c>
      <c r="E20" s="25">
        <f>'Analisis SSA'!T20</f>
        <v>0.01185375478</v>
      </c>
      <c r="F20" s="25">
        <f>'Analisis SSA'!U20</f>
        <v>0.006857070496</v>
      </c>
      <c r="G20" s="37" t="str">
        <f t="shared" si="1"/>
        <v>II</v>
      </c>
      <c r="H20" s="37" t="str">
        <f t="shared" si="2"/>
        <v>Maju tapi Tertekan (Stagnan)</v>
      </c>
    </row>
    <row r="21" ht="15.75" customHeight="1">
      <c r="A21" s="35" t="str">
        <f>'Analisis SSA'!A21</f>
        <v>R,S,T, U</v>
      </c>
      <c r="B21" s="36" t="str">
        <f>'Analisis SSA'!B21</f>
        <v>Jasa lainnya</v>
      </c>
      <c r="C21" s="25">
        <f>'Analisis SSA'!L21</f>
        <v>0.06580531285</v>
      </c>
      <c r="D21" s="25">
        <f>'Analisis SSA'!S21</f>
        <v>0.1210593642</v>
      </c>
      <c r="E21" s="25">
        <f>'Analisis SSA'!T21</f>
        <v>0.02932246799</v>
      </c>
      <c r="F21" s="25">
        <f>'Analisis SSA'!U21</f>
        <v>0.01434269936</v>
      </c>
      <c r="G21" s="37" t="str">
        <f t="shared" si="1"/>
        <v>II</v>
      </c>
      <c r="H21" s="37" t="str">
        <f t="shared" si="2"/>
        <v>Maju tapi Tertekan (Stagnan)</v>
      </c>
    </row>
    <row r="22" ht="15.75" customHeight="1">
      <c r="A22" s="30"/>
      <c r="B22" s="30"/>
      <c r="C22" s="30"/>
      <c r="D22" s="30"/>
      <c r="E22" s="30"/>
      <c r="F22" s="30"/>
      <c r="G22" s="30"/>
      <c r="H22" s="30"/>
    </row>
    <row r="23" ht="15.75" customHeight="1">
      <c r="A23" s="38" t="s">
        <v>66</v>
      </c>
      <c r="B23" s="30"/>
      <c r="C23" s="30"/>
      <c r="D23" s="30"/>
      <c r="E23" s="30"/>
      <c r="F23" s="30"/>
      <c r="G23" s="30"/>
      <c r="H23" s="30"/>
    </row>
    <row r="24" ht="15.75" customHeight="1">
      <c r="A24" s="39" t="s">
        <v>67</v>
      </c>
      <c r="B24" s="40" t="s">
        <v>68</v>
      </c>
      <c r="C24" s="41" t="s">
        <v>69</v>
      </c>
      <c r="G24" s="30"/>
      <c r="H24" s="30"/>
    </row>
    <row r="25" ht="15.75" customHeight="1">
      <c r="A25" s="39" t="s">
        <v>70</v>
      </c>
      <c r="B25" s="40" t="s">
        <v>71</v>
      </c>
      <c r="C25" s="41" t="s">
        <v>72</v>
      </c>
      <c r="G25" s="30"/>
      <c r="H25" s="30"/>
    </row>
    <row r="26" ht="15.75" customHeight="1">
      <c r="A26" s="39" t="s">
        <v>73</v>
      </c>
      <c r="B26" s="40" t="s">
        <v>74</v>
      </c>
      <c r="C26" s="41" t="s">
        <v>75</v>
      </c>
      <c r="G26" s="30"/>
      <c r="H26" s="30"/>
    </row>
    <row r="27" ht="15.75" customHeight="1">
      <c r="A27" s="39" t="s">
        <v>76</v>
      </c>
      <c r="B27" s="40" t="s">
        <v>77</v>
      </c>
      <c r="C27" s="41" t="s">
        <v>78</v>
      </c>
      <c r="G27" s="30"/>
      <c r="H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</row>
  </sheetData>
  <mergeCells count="6">
    <mergeCell ref="A1:H1"/>
    <mergeCell ref="A2:H2"/>
    <mergeCell ref="C24:F24"/>
    <mergeCell ref="C25:F25"/>
    <mergeCell ref="C26:F26"/>
    <mergeCell ref="C27:F27"/>
  </mergeCells>
  <conditionalFormatting sqref="A5:H21">
    <cfRule type="expression" dxfId="0" priority="1">
      <formula>$G5="I"</formula>
    </cfRule>
  </conditionalFormatting>
  <conditionalFormatting sqref="A5:H21">
    <cfRule type="expression" dxfId="1" priority="2">
      <formula>$G5="II"</formula>
    </cfRule>
  </conditionalFormatting>
  <conditionalFormatting sqref="A5:H21">
    <cfRule type="expression" dxfId="2" priority="3">
      <formula>$G5="III"</formula>
    </cfRule>
  </conditionalFormatting>
  <conditionalFormatting sqref="A5:H21">
    <cfRule type="expression" dxfId="3" priority="4">
      <formula>$G5="IV"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2026-07-22T11:25:16Z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