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DRB" sheetId="1" state="visible" r:id="rId3"/>
    <sheet name="LQ" sheetId="2" state="visible" r:id="rId4"/>
    <sheet name="SSA" sheetId="3" state="visible" r:id="rId5"/>
    <sheet name="Klassen" sheetId="4" state="visible" r:id="rId6"/>
    <sheet name="Metodologi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<sst xmlns="http://schemas.openxmlformats.org/spreadsheetml/2006/main" count="219" uniqueCount="206">
  <si>
    <t xml:space="preserve">DATA PDRB ATAS DASAR HARGA KONSTAN (ADHK) 2010 — Miliar Rupiah</t>
  </si>
  <si>
    <t xml:space="preserve">PDRB Subsektor (Seri 2010)</t>
  </si>
  <si>
    <t xml:space="preserve">PDRB ADHK Jawa Barat</t>
  </si>
  <si>
    <t xml:space="preserve">PDRB ADHK Kota Bogor</t>
  </si>
  <si>
    <t xml:space="preserve">Sumber: data unggahan pengguna (BPS). Seluruh angka dalam miliar rupiah, harga konstan 2010.</t>
  </si>
  <si>
    <t xml:space="preserve">Kode</t>
  </si>
  <si>
    <t xml:space="preserve">Lapangan Usaha</t>
  </si>
  <si>
    <t xml:space="preserve">A</t>
  </si>
  <si>
    <t xml:space="preserve">Pertanian, Kehutanan, dan Perikanan</t>
  </si>
  <si>
    <t xml:space="preserve">B</t>
  </si>
  <si>
    <t xml:space="preserve">Pertambangan dan Penggalian</t>
  </si>
  <si>
    <t xml:space="preserve">C</t>
  </si>
  <si>
    <t xml:space="preserve">Industri Pengolahan</t>
  </si>
  <si>
    <t xml:space="preserve">D</t>
  </si>
  <si>
    <t xml:space="preserve">Pengadaan Listrik dan Gas</t>
  </si>
  <si>
    <t xml:space="preserve">E</t>
  </si>
  <si>
    <t xml:space="preserve">Pengadaan Air, Pengelolaan Sampah, Limbah dan Daur Ulang</t>
  </si>
  <si>
    <t xml:space="preserve">F</t>
  </si>
  <si>
    <t xml:space="preserve">Konstruksi</t>
  </si>
  <si>
    <t xml:space="preserve">G</t>
  </si>
  <si>
    <t xml:space="preserve">Perdagangan Besar dan Eceran</t>
  </si>
  <si>
    <t xml:space="preserve">H</t>
  </si>
  <si>
    <t xml:space="preserve">Transportasi dan Pergudangan</t>
  </si>
  <si>
    <t xml:space="preserve">I</t>
  </si>
  <si>
    <t xml:space="preserve">Penyediaan Akomodasi dan Makan Minum</t>
  </si>
  <si>
    <t xml:space="preserve">J</t>
  </si>
  <si>
    <t xml:space="preserve">Informasi dan Komunikasi</t>
  </si>
  <si>
    <t xml:space="preserve">K</t>
  </si>
  <si>
    <t xml:space="preserve">Jasa Keuangan dan Asuransi</t>
  </si>
  <si>
    <t xml:space="preserve">L</t>
  </si>
  <si>
    <t xml:space="preserve">Real Estate</t>
  </si>
  <si>
    <t xml:space="preserve">M,N</t>
  </si>
  <si>
    <t xml:space="preserve">Jasa Perusahaan</t>
  </si>
  <si>
    <t xml:space="preserve">O</t>
  </si>
  <si>
    <t xml:space="preserve">Administrasi Pemerintahan, Pertahanan dan Jaminan Sosial Wajib</t>
  </si>
  <si>
    <t xml:space="preserve">P</t>
  </si>
  <si>
    <t xml:space="preserve">Jasa Pendidikan</t>
  </si>
  <si>
    <t xml:space="preserve">Q</t>
  </si>
  <si>
    <t xml:space="preserve">Jasa Kesehatan dan Kegiatan Sosial</t>
  </si>
  <si>
    <t xml:space="preserve">R,S,T, U</t>
  </si>
  <si>
    <t xml:space="preserve">Jasa lainnya</t>
  </si>
  <si>
    <t xml:space="preserve">PRODUK DOMESTIK REGIONAL BRUTO</t>
  </si>
  <si>
    <t xml:space="preserve">ANALISIS LOCATION QUOTIENT (LQ) — KOTA BOGOR TERHADAP JAWA BARAT</t>
  </si>
  <si>
    <t xml:space="preserve">Rumus:   LQ = (Xij / RVj) ÷ (Xi / RVi)</t>
  </si>
  <si>
    <t xml:space="preserve">Xij = PDRB sektor i Kota Bogor  |  RVj = total PDRB Kota Bogor  |  Xi = PDRB sektor i Jawa Barat  |  RVi = total PDRB Jawa Barat</t>
  </si>
  <si>
    <t xml:space="preserve">Kriteria: LQ &gt; 1 = sektor basis (unggulan/ekspor) · LQ = 1 = swasembada · LQ &lt; 1 = sektor non-basis</t>
  </si>
  <si>
    <t xml:space="preserve">LQ 2019</t>
  </si>
  <si>
    <t xml:space="preserve">LQ 2020</t>
  </si>
  <si>
    <t xml:space="preserve">LQ 2021</t>
  </si>
  <si>
    <t xml:space="preserve">LQ 2022</t>
  </si>
  <si>
    <t xml:space="preserve">LQ 2023</t>
  </si>
  <si>
    <t xml:space="preserve">LQ 2024</t>
  </si>
  <si>
    <t xml:space="preserve">Rata-rata LQ</t>
  </si>
  <si>
    <t xml:space="preserve">Kriteria</t>
  </si>
  <si>
    <t xml:space="preserve">Peringkat</t>
  </si>
  <si>
    <t xml:space="preserve">Catatan: Sektor B (Pertambangan dan Penggalian) bernilai 0 di Kota Bogor sehingga LQ = 0 (sektor tidak ada).</t>
  </si>
  <si>
    <t xml:space="preserve">Jumlah sektor basis (LQ rata-rata ≥ 1):</t>
  </si>
  <si>
    <t xml:space="preserve">ANALISIS SHIFT SHARE (SS) — KOTA BOGOR, WILAYAH REFERENSI: JAWA BARAT</t>
  </si>
  <si>
    <t xml:space="preserve">Rumus:   Dij = Nij + Mij + Cij      Nij = Yij × rn      Mij = Yij × (rin − rn)      Cij = Yij × (rij − rn)</t>
  </si>
  <si>
    <t xml:space="preserve">Yij = PDRB sektor i Kota Bogor tahun awal · rij = laju pertumbuhan sektor i Kota Bogor · rin = laju pertumbuhan sektor i Jawa Barat · rn = laju pertumbuhan total PDRB Jawa Barat</t>
  </si>
  <si>
    <t xml:space="preserve">Tahun awal (t₀)</t>
  </si>
  <si>
    <t xml:space="preserve">← sel kuning = input, boleh diubah (2019–2024); seluruh tabel ikut menghitung ulang</t>
  </si>
  <si>
    <t xml:space="preserve">Tahun akhir (t)</t>
  </si>
  <si>
    <t xml:space="preserve">Total PDRB Jawa Barat t₀  (Yn t₀)</t>
  </si>
  <si>
    <t xml:space="preserve">Total PDRB Jawa Barat t  (Yn t)</t>
  </si>
  <si>
    <t xml:space="preserve">rn = (Yn t − Yn t₀) / Yn t₀</t>
  </si>
  <si>
    <t xml:space="preserve">Yij t₀
(Bogor)</t>
  </si>
  <si>
    <t xml:space="preserve">Yij t
(Bogor)</t>
  </si>
  <si>
    <t xml:space="preserve">Yin t₀
(Jabar)</t>
  </si>
  <si>
    <t xml:space="preserve">Yin t
(Jabar)</t>
  </si>
  <si>
    <t xml:space="preserve">rij
(Bogor)</t>
  </si>
  <si>
    <t xml:space="preserve">rin
(Jabar)</t>
  </si>
  <si>
    <t xml:space="preserve">rn
(Jabar total)</t>
  </si>
  <si>
    <t xml:space="preserve">Nij
= Yij × rn</t>
  </si>
  <si>
    <t xml:space="preserve">Mij
= Yij × (rin−rn)</t>
  </si>
  <si>
    <t xml:space="preserve">Cij (panduan)
= Yij × (rij−rn)</t>
  </si>
  <si>
    <t xml:space="preserve">Dij (panduan)
= Nij+Mij+Cij</t>
  </si>
  <si>
    <t xml:space="preserve">Cij (identitas)
= Yij × (rij−rin)</t>
  </si>
  <si>
    <t xml:space="preserve">Dij (identitas)
= Nij+Mij+Cij</t>
  </si>
  <si>
    <t xml:space="preserve">ΔPDRB aktual
= Yij t − Yij t₀</t>
  </si>
  <si>
    <t xml:space="preserve">Selisih
(Dij identitas − ΔPDRB)</t>
  </si>
  <si>
    <t xml:space="preserve">JUMLAH</t>
  </si>
  <si>
    <t xml:space="preserve">CATATAN PENTING MENGENAI RUMUS Cij</t>
  </si>
  <si>
    <t xml:space="preserve">1. Kolom L memakai rumus persis seperti dokumen yang diunggah: Cij = Yij × (rij − rn).</t>
  </si>
  <si>
    <t xml:space="preserve">2. Dengan rumus tersebut, identitas Dij = Nij + Mij + Cij TIDAK sama dengan perubahan PDRB aktual, karena komponen (rin − rn) terhitung dua kali.</t>
  </si>
  <si>
    <t xml:space="preserve">   Secara aljabar: Yij(rij − rn) = Yij(rin − rn) + Yij(rij − rin) = Mij + Cij_identitas, sehingga Cij versi panduan sebenarnya = pergeseran bersih (net shift) Mij + Cij.</t>
  </si>
  <si>
    <t xml:space="preserve">3. Kolom N adalah versi yang menutup identitas: Cij = Yij × (rij − rin). Dengan versi ini Dij = Nij + Mij + Cij = ΔPDRB aktual, dibuktikan kolom Q yang seluruhnya bernilai 0.</t>
  </si>
  <si>
    <t xml:space="preserve">4. Keduanya disajikan agar dapat dicek. Untuk klasifikasi Tipologi, dipakai kolom L (versi panduan) sebagai "nilai SSA"; kolom N disajikan sebagai pembanding di sheet Klassen.</t>
  </si>
  <si>
    <t xml:space="preserve">5. Wilayah referensi memakai Jawa Barat (bukan nasional) karena data yang tersedia hanya PDRB Jawa Barat dan Kota Bogor. Notasi "n" pada rumus dibaca sebagai Jawa Barat.</t>
  </si>
  <si>
    <t xml:space="preserve">TIPOLOGI SEKTOR (MATRIKS LQ × SHIFT SHARE) — KOTA BOGOR 2019–2024</t>
  </si>
  <si>
    <t xml:space="preserve">Kuadran I: LQ ≥ 1 &amp; SSA (+)  ·  Kuadran II: LQ &lt; 1 &amp; SSA (+)  ·  Kuadran III: LQ ≥ 1 &amp; SSA (−)  ·  Kuadran IV: LQ &lt; 1 &amp; SSA (−)</t>
  </si>
  <si>
    <t xml:space="preserve">Nilai SSA yang dipakai = Cij versi panduan (kolom L sheet SSA) = Yij × (rij − rn), yaitu pergeseran bersih sektor terhadap pertumbuhan Jawa Barat.</t>
  </si>
  <si>
    <t xml:space="preserve">LQ rata-rata</t>
  </si>
  <si>
    <t xml:space="preserve">Kriteria LQ</t>
  </si>
  <si>
    <t xml:space="preserve">Nilai SSA (Cij)</t>
  </si>
  <si>
    <t xml:space="preserve">Kriteria SSA</t>
  </si>
  <si>
    <t xml:space="preserve">Kuadran</t>
  </si>
  <si>
    <t xml:space="preserve">Klasifikasi Sektor</t>
  </si>
  <si>
    <t xml:space="preserve">Kuadran (versi Cij identitas)</t>
  </si>
  <si>
    <t xml:space="preserve">Cij identitas</t>
  </si>
  <si>
    <t xml:space="preserve">MATRIKS TIPOLOGI SEKTOR (jumlah sektor)</t>
  </si>
  <si>
    <t xml:space="preserve">SSA Negatif (−)</t>
  </si>
  <si>
    <t xml:space="preserve">SSA Positif (+)</t>
  </si>
  <si>
    <t xml:space="preserve">LQ ≥ 1</t>
  </si>
  <si>
    <t xml:space="preserve">Kuadran III = maju tapi tertekan   |   Kuadran I = maju dan tumbuh cepat</t>
  </si>
  <si>
    <t xml:space="preserve">LQ &lt; 1</t>
  </si>
  <si>
    <t xml:space="preserve">Kuadran IV = relatif tertinggal      |   Kuadran II = potensial / berkembang cepat</t>
  </si>
  <si>
    <t xml:space="preserve">Catatan: Gambar 3 pada panduan yang diunggah menempatkan Kuadran II pada (LQ&gt;1, SSA−) dan Kuadran III pada (LQ&lt;1, SSA+),</t>
  </si>
  <si>
    <t xml:space="preserve">sedangkan uraian kriteria di bawah gambar tersebut menyatakan sebaliknya. Yang dipakai di sini adalah versi uraian kriteria (juga versi baku literatur),</t>
  </si>
  <si>
    <t xml:space="preserve">karena label "maju tapi tertekan" hanya konsisten dengan LQ ≥ 1 (maju/basis) dan SSA negatif (tertekan). Rumus di kolom G dapat diubah bila diperlukan.</t>
  </si>
  <si>
    <t xml:space="preserve">METODOLOGI, NOTASI, DAN CONTOH PERHITUNGAN MANUAL</t>
  </si>
  <si>
    <t xml:space="preserve">A. LOCATION QUOTIENT (LQ)</t>
  </si>
  <si>
    <t xml:space="preserve">Rumus</t>
  </si>
  <si>
    <t xml:space="preserve">LQ = (Xij / RVj) ÷ (Xi / RVi)</t>
  </si>
  <si>
    <t xml:space="preserve">Xij</t>
  </si>
  <si>
    <t xml:space="preserve">PDRB sektor i pada Kota Bogor</t>
  </si>
  <si>
    <t xml:space="preserve">RVj</t>
  </si>
  <si>
    <t xml:space="preserve">Total PDRB Kota Bogor</t>
  </si>
  <si>
    <t xml:space="preserve">Xi</t>
  </si>
  <si>
    <t xml:space="preserve">PDRB sektor i Provinsi Jawa Barat</t>
  </si>
  <si>
    <t xml:space="preserve">RVi</t>
  </si>
  <si>
    <t xml:space="preserve">Total PDRB Provinsi Jawa Barat</t>
  </si>
  <si>
    <t xml:space="preserve">Interpretasi</t>
  </si>
  <si>
    <t xml:space="preserve">LQ &gt; 1 → sektor basis (spesialisasi, mampu melayani luar daerah); LQ &lt; 1 → non-basis</t>
  </si>
  <si>
    <t xml:space="preserve">B. SHIFT SHARE (SS)</t>
  </si>
  <si>
    <t xml:space="preserve">Dij = Nij + Mij + Cij</t>
  </si>
  <si>
    <t xml:space="preserve">Nij = Yij × rn</t>
  </si>
  <si>
    <t xml:space="preserve">Pengaruh pertumbuhan ekonomi referensi (provincial share)</t>
  </si>
  <si>
    <t xml:space="preserve">Mij = Yij × (rin − rn)</t>
  </si>
  <si>
    <t xml:space="preserve">Pergeseran proporsional / bauran industri (proportional shift)</t>
  </si>
  <si>
    <t xml:space="preserve">Cij = Yij × (rij − rn)</t>
  </si>
  <si>
    <t xml:space="preserve">Pengaruh keunggulan kompetitif — sesuai dokumen yang diunggah</t>
  </si>
  <si>
    <t xml:space="preserve">Yij</t>
  </si>
  <si>
    <t xml:space="preserve">PDRB sektor i Kota Bogor pada tahun awal (t₀ = 2019)</t>
  </si>
  <si>
    <t xml:space="preserve">rij</t>
  </si>
  <si>
    <t xml:space="preserve">(Yij t − Yij t₀) / Yij t₀ — laju pertumbuhan sektor i Kota Bogor</t>
  </si>
  <si>
    <t xml:space="preserve">rin</t>
  </si>
  <si>
    <t xml:space="preserve">(Yin t − Yin t₀) / Yin t₀ — laju pertumbuhan sektor i Jawa Barat</t>
  </si>
  <si>
    <t xml:space="preserve">rn</t>
  </si>
  <si>
    <t xml:space="preserve">(Yn t − Yn t₀) / Yn t₀ — laju pertumbuhan total PDRB Jawa Barat</t>
  </si>
  <si>
    <t xml:space="preserve">Wilayah referensi</t>
  </si>
  <si>
    <t xml:space="preserve">Jawa Barat (data nasional tidak tersedia pada berkas). Notasi "n" dibaca = Jawa Barat.</t>
  </si>
  <si>
    <t xml:space="preserve">C. TIPOLOGI SEKTOR (LQ × SSA)</t>
  </si>
  <si>
    <t xml:space="preserve">Kuadran I</t>
  </si>
  <si>
    <t xml:space="preserve">LQ ≥ 1 dan SSA (+) → sektor maju dan tumbuh cepat (high growth, high income)</t>
  </si>
  <si>
    <t xml:space="preserve">Kuadran II</t>
  </si>
  <si>
    <t xml:space="preserve">LQ &lt; 1 dan SSA (+) → sektor potensial / berkembang cepat (high growth, low income)</t>
  </si>
  <si>
    <t xml:space="preserve">Kuadran III</t>
  </si>
  <si>
    <t xml:space="preserve">LQ ≥ 1 dan SSA (−) → sektor maju tapi tertekan (low growth, high income)</t>
  </si>
  <si>
    <t xml:space="preserve">Kuadran IV</t>
  </si>
  <si>
    <t xml:space="preserve">LQ &lt; 1 dan SSA (−) → sektor relatif tertinggal (low growth, low income)</t>
  </si>
  <si>
    <t xml:space="preserve">D. CONTOH PERHITUNGAN MANUAL — sektor H (Transportasi dan Pergudangan), 2019 → 2024</t>
  </si>
  <si>
    <t xml:space="preserve">Langkah</t>
  </si>
  <si>
    <t xml:space="preserve">Nilai</t>
  </si>
  <si>
    <t xml:space="preserve">Formula sel</t>
  </si>
  <si>
    <t xml:space="preserve">Keterangan</t>
  </si>
  <si>
    <t xml:space="preserve">Xij = PDRB sektor H Kota Bogor 2019</t>
  </si>
  <si>
    <t xml:space="preserve">PDRB!I12</t>
  </si>
  <si>
    <t xml:space="preserve">Miliar Rp</t>
  </si>
  <si>
    <t xml:space="preserve">RVj = Total PDRB Kota Bogor 2019</t>
  </si>
  <si>
    <t xml:space="preserve">PDRB!I22</t>
  </si>
  <si>
    <t xml:space="preserve">Xi = PDRB sektor H Jawa Barat 2019</t>
  </si>
  <si>
    <t xml:space="preserve">PDRB!C12</t>
  </si>
  <si>
    <t xml:space="preserve">RVi = Total PDRB Jawa Barat 2019</t>
  </si>
  <si>
    <t xml:space="preserve">PDRB!C22</t>
  </si>
  <si>
    <t xml:space="preserve">Pangsa sektor H di Kota Bogor = Xij/RVj</t>
  </si>
  <si>
    <t xml:space="preserve">B30/B31</t>
  </si>
  <si>
    <t xml:space="preserve">Share lokal</t>
  </si>
  <si>
    <t xml:space="preserve">Pangsa sektor H di Jawa Barat = Xi/RVi</t>
  </si>
  <si>
    <t xml:space="preserve">B32/B33</t>
  </si>
  <si>
    <t xml:space="preserve">Share referensi</t>
  </si>
  <si>
    <t xml:space="preserve">LQ 2019 = (Xij/RVj)/(Xi/RVi)</t>
  </si>
  <si>
    <t xml:space="preserve">B34/B35</t>
  </si>
  <si>
    <t xml:space="preserve">Bandingkan dengan sel LQ!C14</t>
  </si>
  <si>
    <t xml:space="preserve">Yij (2019)</t>
  </si>
  <si>
    <t xml:space="preserve">Basis perhitungan shift share</t>
  </si>
  <si>
    <t xml:space="preserve">Yij (2024)</t>
  </si>
  <si>
    <t xml:space="preserve">PDRB!N12</t>
  </si>
  <si>
    <t xml:space="preserve">rij = (Yij2024 − Yij2019)/Yij2019</t>
  </si>
  <si>
    <t xml:space="preserve">(B38-B37)/B37</t>
  </si>
  <si>
    <t xml:space="preserve">Pertumbuhan sektor H Kota Bogor</t>
  </si>
  <si>
    <t xml:space="preserve">rin = (Yin2024 − Yin2019)/Yin2019</t>
  </si>
  <si>
    <t xml:space="preserve">(PDRB!H12-PDRB!C12)/PDRB!C12</t>
  </si>
  <si>
    <t xml:space="preserve">Pertumbuhan sektor H Jawa Barat</t>
  </si>
  <si>
    <t xml:space="preserve">rn = (Yn2024 − Yn2019)/Yn2019</t>
  </si>
  <si>
    <t xml:space="preserve">(PDRB!H22-PDRB!C22)/PDRB!C22</t>
  </si>
  <si>
    <t xml:space="preserve">Pertumbuhan total PDRB Jawa Barat</t>
  </si>
  <si>
    <t xml:space="preserve">B37*B41</t>
  </si>
  <si>
    <t xml:space="preserve">Efek pertumbuhan wilayah referensi</t>
  </si>
  <si>
    <t xml:space="preserve">B37*(B40-B41)</t>
  </si>
  <si>
    <t xml:space="preserve">Efek bauran industri</t>
  </si>
  <si>
    <t xml:space="preserve">Cij = Yij × (rij − rn)  [versi panduan]</t>
  </si>
  <si>
    <t xml:space="preserve">B37*(B39-B41)</t>
  </si>
  <si>
    <t xml:space="preserve">Bandingkan dengan sel SSA!L19</t>
  </si>
  <si>
    <t xml:space="preserve">Dij = Nij + Mij + Cij  [versi panduan]</t>
  </si>
  <si>
    <t xml:space="preserve">B42+B43+B44</t>
  </si>
  <si>
    <t xml:space="preserve">Bandingkan dengan sel SSA!M19</t>
  </si>
  <si>
    <t xml:space="preserve">Cij = Yij × (rij − rin)  [versi identitas]</t>
  </si>
  <si>
    <t xml:space="preserve">B37*(B39-B40)</t>
  </si>
  <si>
    <t xml:space="preserve">Bandingkan dengan sel SSA!N19</t>
  </si>
  <si>
    <t xml:space="preserve">Dij identitas = Nij + Mij + Cij identitas</t>
  </si>
  <si>
    <t xml:space="preserve">B42+B43+B46</t>
  </si>
  <si>
    <t xml:space="preserve">Harus sama dengan ΔPDRB aktual di bawah</t>
  </si>
  <si>
    <t xml:space="preserve">ΔPDRB aktual = Yij2024 − Yij2019</t>
  </si>
  <si>
    <t xml:space="preserve">B38-B37</t>
  </si>
  <si>
    <t xml:space="preserve">Bukti identitas shift share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</si>
</sst>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.00"/>
    <numFmt numFmtId="167" formatCode="0.000"/>
    <numFmt numFmtId="168" formatCode="General"/>
    <numFmt numFmtId="169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6E0B4"/>
      </patternFill>
    </fill>
    <fill>
      <patternFill patternType="solid">
        <fgColor rgb="FFFFF2CC"/>
        <bgColor rgb="FFFFE699"/>
      </patternFill>
    </fill>
    <fill>
      <patternFill patternType="solid">
        <fgColor rgb="FFFFFF00"/>
        <bgColor rgb="FFFFFF00"/>
      </patternFill>
    </fill>
    <fill>
      <patternFill patternType="solid">
        <fgColor rgb="FFC6E0B4"/>
        <bgColor rgb="FFD9E2F3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8" min="3" style="0" width="14"/>
    <col collapsed="false" customWidth="true" hidden="false" outlineLevel="0" max="14" min="9" style="0" width="12"/>
  </cols>
  <sheetData>
    <row r="1" customFormat="false" ht="21.7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B2" s="3" t="s">
        <v>1</v>
      </c>
      <c r="C2" s="3" t="s">
        <v>2</v>
      </c>
      <c r="I2" s="3" t="s">
        <v>3</v>
      </c>
    </row>
    <row r="3" customFormat="false" ht="15" hidden="false" customHeight="false" outlineLevel="0" collapsed="false">
      <c r="A3" s="4" t="s">
        <v>4</v>
      </c>
    </row>
    <row r="4" customFormat="false" ht="15" hidden="false" customHeight="false" outlineLevel="0" collapsed="false">
      <c r="A4" s="5" t="s">
        <v>5</v>
      </c>
      <c r="B4" s="5" t="s">
        <v>6</v>
      </c>
      <c r="C4" s="6" t="n">
        <v>2019</v>
      </c>
      <c r="D4" s="6" t="n">
        <v>2020</v>
      </c>
      <c r="E4" s="6" t="n">
        <v>2021</v>
      </c>
      <c r="F4" s="6" t="n">
        <v>2022</v>
      </c>
      <c r="G4" s="6" t="n">
        <v>2023</v>
      </c>
      <c r="H4" s="6" t="n">
        <v>2024</v>
      </c>
      <c r="I4" s="6" t="n">
        <v>2019</v>
      </c>
      <c r="J4" s="6" t="n">
        <v>2020</v>
      </c>
      <c r="K4" s="6" t="n">
        <v>2021</v>
      </c>
      <c r="L4" s="6" t="n">
        <v>2022</v>
      </c>
      <c r="M4" s="6" t="n">
        <v>2023</v>
      </c>
      <c r="N4" s="6" t="n">
        <v>2024</v>
      </c>
    </row>
    <row r="5" customFormat="false" ht="15" hidden="false" customHeight="false" outlineLevel="0" collapsed="false">
      <c r="A5" s="7" t="s">
        <v>7</v>
      </c>
      <c r="B5" s="7" t="s">
        <v>8</v>
      </c>
      <c r="C5" s="8" t="n">
        <v>104596.75</v>
      </c>
      <c r="D5" s="8" t="n">
        <v>107000.79</v>
      </c>
      <c r="E5" s="8" t="n">
        <v>108406.55</v>
      </c>
      <c r="F5" s="8" t="n">
        <v>113186.39</v>
      </c>
      <c r="G5" s="8" t="n">
        <v>113308.54</v>
      </c>
      <c r="H5" s="8" t="n">
        <v>115104.77</v>
      </c>
      <c r="I5" s="8" t="n">
        <v>239.77</v>
      </c>
      <c r="J5" s="8" t="n">
        <v>245.16</v>
      </c>
      <c r="K5" s="8" t="n">
        <v>258.71</v>
      </c>
      <c r="L5" s="8" t="n">
        <v>267.41</v>
      </c>
      <c r="M5" s="8" t="n">
        <v>275.95</v>
      </c>
      <c r="N5" s="8" t="n">
        <v>279.23</v>
      </c>
    </row>
    <row r="6" customFormat="false" ht="15" hidden="false" customHeight="false" outlineLevel="0" collapsed="false">
      <c r="A6" s="7" t="s">
        <v>9</v>
      </c>
      <c r="B6" s="7" t="s">
        <v>10</v>
      </c>
      <c r="C6" s="8" t="n">
        <v>24791.42</v>
      </c>
      <c r="D6" s="8" t="n">
        <v>23771.26</v>
      </c>
      <c r="E6" s="8" t="n">
        <v>23966.2</v>
      </c>
      <c r="F6" s="8" t="n">
        <v>23880.32</v>
      </c>
      <c r="G6" s="8" t="n">
        <v>23857.08</v>
      </c>
      <c r="H6" s="8" t="n">
        <v>23789.6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</row>
    <row r="7" customFormat="false" ht="15" hidden="false" customHeight="false" outlineLevel="0" collapsed="false">
      <c r="A7" s="7" t="s">
        <v>11</v>
      </c>
      <c r="B7" s="7" t="s">
        <v>12</v>
      </c>
      <c r="C7" s="8" t="n">
        <v>640760.96</v>
      </c>
      <c r="D7" s="8" t="n">
        <v>612799.43</v>
      </c>
      <c r="E7" s="8" t="n">
        <v>638689.32</v>
      </c>
      <c r="F7" s="8" t="n">
        <v>683420.25</v>
      </c>
      <c r="G7" s="8" t="n">
        <v>715811.26</v>
      </c>
      <c r="H7" s="8" t="n">
        <v>741041.45</v>
      </c>
      <c r="I7" s="8" t="n">
        <v>6065.72</v>
      </c>
      <c r="J7" s="8" t="n">
        <v>6015.39</v>
      </c>
      <c r="K7" s="8" t="n">
        <v>6283.63</v>
      </c>
      <c r="L7" s="8" t="n">
        <v>6603</v>
      </c>
      <c r="M7" s="8" t="n">
        <v>6864.58</v>
      </c>
      <c r="N7" s="8" t="n">
        <v>7032.53</v>
      </c>
    </row>
    <row r="8" customFormat="false" ht="15" hidden="false" customHeight="false" outlineLevel="0" collapsed="false">
      <c r="A8" s="7" t="s">
        <v>13</v>
      </c>
      <c r="B8" s="7" t="s">
        <v>14</v>
      </c>
      <c r="C8" s="8" t="n">
        <v>5373.58</v>
      </c>
      <c r="D8" s="8" t="n">
        <v>4964.31</v>
      </c>
      <c r="E8" s="8" t="n">
        <v>5543.06</v>
      </c>
      <c r="F8" s="8" t="n">
        <v>5843.38</v>
      </c>
      <c r="G8" s="8" t="n">
        <v>5854.08</v>
      </c>
      <c r="H8" s="8" t="n">
        <v>5818.98</v>
      </c>
      <c r="I8" s="8" t="n">
        <v>771.59</v>
      </c>
      <c r="J8" s="8" t="n">
        <v>725.41</v>
      </c>
      <c r="K8" s="8" t="n">
        <v>813.13</v>
      </c>
      <c r="L8" s="8" t="n">
        <v>893.01</v>
      </c>
      <c r="M8" s="8" t="n">
        <v>869.6</v>
      </c>
      <c r="N8" s="8" t="n">
        <v>844.77</v>
      </c>
    </row>
    <row r="9" customFormat="false" ht="15" hidden="false" customHeight="false" outlineLevel="0" collapsed="false">
      <c r="A9" s="7" t="s">
        <v>15</v>
      </c>
      <c r="B9" s="7" t="s">
        <v>16</v>
      </c>
      <c r="C9" s="8" t="n">
        <v>1168.93</v>
      </c>
      <c r="D9" s="8" t="n">
        <v>1295.18</v>
      </c>
      <c r="E9" s="8" t="n">
        <v>1419.97</v>
      </c>
      <c r="F9" s="8" t="n">
        <v>1456.85</v>
      </c>
      <c r="G9" s="8" t="n">
        <v>1495.07</v>
      </c>
      <c r="H9" s="8" t="n">
        <v>1577.05</v>
      </c>
      <c r="I9" s="8" t="n">
        <v>32.73</v>
      </c>
      <c r="J9" s="8" t="n">
        <v>36.05</v>
      </c>
      <c r="K9" s="8" t="n">
        <v>39.77</v>
      </c>
      <c r="L9" s="8" t="n">
        <v>42.44</v>
      </c>
      <c r="M9" s="8" t="n">
        <v>47.06</v>
      </c>
      <c r="N9" s="8" t="n">
        <v>51.13</v>
      </c>
    </row>
    <row r="10" customFormat="false" ht="15" hidden="false" customHeight="false" outlineLevel="0" collapsed="false">
      <c r="A10" s="7" t="s">
        <v>17</v>
      </c>
      <c r="B10" s="7" t="s">
        <v>18</v>
      </c>
      <c r="C10" s="8" t="n">
        <v>126612.45</v>
      </c>
      <c r="D10" s="8" t="n">
        <v>119062.01</v>
      </c>
      <c r="E10" s="8" t="n">
        <v>126767.9</v>
      </c>
      <c r="F10" s="8" t="n">
        <v>126184.39</v>
      </c>
      <c r="G10" s="8" t="n">
        <v>133549.61</v>
      </c>
      <c r="H10" s="8" t="n">
        <v>143014.89</v>
      </c>
      <c r="I10" s="8" t="n">
        <v>3829.21</v>
      </c>
      <c r="J10" s="8" t="n">
        <v>3604.7</v>
      </c>
      <c r="K10" s="8" t="n">
        <v>3659.26</v>
      </c>
      <c r="L10" s="8" t="n">
        <v>3672.5</v>
      </c>
      <c r="M10" s="8" t="n">
        <v>4094.47</v>
      </c>
      <c r="N10" s="8" t="n">
        <v>4142.49</v>
      </c>
    </row>
    <row r="11" customFormat="false" ht="15" hidden="false" customHeight="false" outlineLevel="0" collapsed="false">
      <c r="A11" s="7" t="s">
        <v>19</v>
      </c>
      <c r="B11" s="7" t="s">
        <v>20</v>
      </c>
      <c r="C11" s="8" t="n">
        <v>232878.84</v>
      </c>
      <c r="D11" s="8" t="n">
        <v>214374.85</v>
      </c>
      <c r="E11" s="8" t="n">
        <v>221203.99</v>
      </c>
      <c r="F11" s="8" t="n">
        <v>230532.56</v>
      </c>
      <c r="G11" s="8" t="n">
        <v>240583.83</v>
      </c>
      <c r="H11" s="8" t="n">
        <v>252244.61</v>
      </c>
      <c r="I11" s="8" t="n">
        <v>6744.72</v>
      </c>
      <c r="J11" s="8" t="n">
        <v>6210.45</v>
      </c>
      <c r="K11" s="8" t="n">
        <v>6379.3</v>
      </c>
      <c r="L11" s="8" t="n">
        <v>6722.52</v>
      </c>
      <c r="M11" s="8" t="n">
        <v>6973.02</v>
      </c>
      <c r="N11" s="8" t="n">
        <v>7191.2</v>
      </c>
    </row>
    <row r="12" customFormat="false" ht="15" hidden="false" customHeight="false" outlineLevel="0" collapsed="false">
      <c r="A12" s="7" t="s">
        <v>21</v>
      </c>
      <c r="B12" s="7" t="s">
        <v>22</v>
      </c>
      <c r="C12" s="8" t="n">
        <v>71064.36</v>
      </c>
      <c r="D12" s="8" t="n">
        <v>68097.41</v>
      </c>
      <c r="E12" s="8" t="n">
        <v>67981.5</v>
      </c>
      <c r="F12" s="8" t="n">
        <v>75521.57</v>
      </c>
      <c r="G12" s="8" t="n">
        <v>83777.2</v>
      </c>
      <c r="H12" s="8" t="n">
        <v>94113.89</v>
      </c>
      <c r="I12" s="8" t="n">
        <v>3933.69</v>
      </c>
      <c r="J12" s="8" t="n">
        <v>3850.16</v>
      </c>
      <c r="K12" s="8" t="n">
        <v>3961.62</v>
      </c>
      <c r="L12" s="8" t="n">
        <v>4352.35</v>
      </c>
      <c r="M12" s="8" t="n">
        <v>4744.1</v>
      </c>
      <c r="N12" s="8" t="n">
        <v>5322.75</v>
      </c>
    </row>
    <row r="13" customFormat="false" ht="15" hidden="false" customHeight="false" outlineLevel="0" collapsed="false">
      <c r="A13" s="7" t="s">
        <v>23</v>
      </c>
      <c r="B13" s="7" t="s">
        <v>24</v>
      </c>
      <c r="C13" s="8" t="n">
        <v>40928.32</v>
      </c>
      <c r="D13" s="8" t="n">
        <v>38634.85</v>
      </c>
      <c r="E13" s="8" t="n">
        <v>38620.93</v>
      </c>
      <c r="F13" s="8" t="n">
        <v>42972.84</v>
      </c>
      <c r="G13" s="8" t="n">
        <v>46721.9</v>
      </c>
      <c r="H13" s="8" t="n">
        <v>49724.89</v>
      </c>
      <c r="I13" s="8" t="n">
        <v>1503.11</v>
      </c>
      <c r="J13" s="8" t="n">
        <v>1530.33</v>
      </c>
      <c r="K13" s="8" t="n">
        <v>1550.68</v>
      </c>
      <c r="L13" s="8" t="n">
        <v>1734.17</v>
      </c>
      <c r="M13" s="8" t="n">
        <v>1825.38</v>
      </c>
      <c r="N13" s="8" t="n">
        <v>1960.93</v>
      </c>
    </row>
    <row r="14" customFormat="false" ht="15" hidden="false" customHeight="false" outlineLevel="0" collapsed="false">
      <c r="A14" s="7" t="s">
        <v>25</v>
      </c>
      <c r="B14" s="7" t="s">
        <v>26</v>
      </c>
      <c r="C14" s="8" t="n">
        <v>63861.23</v>
      </c>
      <c r="D14" s="8" t="n">
        <v>85632.78</v>
      </c>
      <c r="E14" s="8" t="n">
        <v>91882.97</v>
      </c>
      <c r="F14" s="8" t="n">
        <v>97480.64</v>
      </c>
      <c r="G14" s="8" t="n">
        <v>105146</v>
      </c>
      <c r="H14" s="8" t="n">
        <v>113765.59</v>
      </c>
      <c r="I14" s="8" t="n">
        <v>2253.82</v>
      </c>
      <c r="J14" s="8" t="n">
        <v>3047.81</v>
      </c>
      <c r="K14" s="8" t="n">
        <v>3182.27</v>
      </c>
      <c r="L14" s="8" t="n">
        <v>3344.93</v>
      </c>
      <c r="M14" s="8" t="n">
        <v>3563.35</v>
      </c>
      <c r="N14" s="8" t="n">
        <v>3951.15</v>
      </c>
    </row>
    <row r="15" customFormat="false" ht="15" hidden="false" customHeight="false" outlineLevel="0" collapsed="false">
      <c r="A15" s="7" t="s">
        <v>27</v>
      </c>
      <c r="B15" s="7" t="s">
        <v>28</v>
      </c>
      <c r="C15" s="8" t="n">
        <v>36498.69</v>
      </c>
      <c r="D15" s="8" t="n">
        <v>36914.8</v>
      </c>
      <c r="E15" s="8" t="n">
        <v>39014.44</v>
      </c>
      <c r="F15" s="8" t="n">
        <v>38743.11</v>
      </c>
      <c r="G15" s="8" t="n">
        <v>40184.13</v>
      </c>
      <c r="H15" s="8" t="n">
        <v>41870.17</v>
      </c>
      <c r="I15" s="8" t="n">
        <v>2187.59</v>
      </c>
      <c r="J15" s="8" t="n">
        <v>2214.26</v>
      </c>
      <c r="K15" s="8" t="n">
        <v>2245.47</v>
      </c>
      <c r="L15" s="8" t="n">
        <v>2223.68</v>
      </c>
      <c r="M15" s="8" t="n">
        <v>2246.72</v>
      </c>
      <c r="N15" s="8" t="n">
        <v>2327.49</v>
      </c>
    </row>
    <row r="16" customFormat="false" ht="15" hidden="false" customHeight="false" outlineLevel="0" collapsed="false">
      <c r="A16" s="7" t="s">
        <v>29</v>
      </c>
      <c r="B16" s="7" t="s">
        <v>30</v>
      </c>
      <c r="C16" s="8" t="n">
        <v>19344.12</v>
      </c>
      <c r="D16" s="8" t="n">
        <v>19716.06</v>
      </c>
      <c r="E16" s="8" t="n">
        <v>22033.68</v>
      </c>
      <c r="F16" s="8" t="n">
        <v>22993.05</v>
      </c>
      <c r="G16" s="8" t="n">
        <v>24426.12</v>
      </c>
      <c r="H16" s="8" t="n">
        <v>26046.99</v>
      </c>
      <c r="I16" s="8" t="n">
        <v>736.54</v>
      </c>
      <c r="J16" s="8" t="n">
        <v>719.17</v>
      </c>
      <c r="K16" s="8" t="n">
        <v>821.06</v>
      </c>
      <c r="L16" s="8" t="n">
        <v>877.63</v>
      </c>
      <c r="M16" s="8" t="n">
        <v>896.55</v>
      </c>
      <c r="N16" s="8" t="n">
        <v>957.85</v>
      </c>
    </row>
    <row r="17" customFormat="false" ht="15" hidden="false" customHeight="false" outlineLevel="0" collapsed="false">
      <c r="A17" s="7" t="s">
        <v>31</v>
      </c>
      <c r="B17" s="7" t="s">
        <v>32</v>
      </c>
      <c r="C17" s="8" t="n">
        <v>6859.66</v>
      </c>
      <c r="D17" s="8" t="n">
        <v>5599.12</v>
      </c>
      <c r="E17" s="8" t="n">
        <v>6077.47</v>
      </c>
      <c r="F17" s="8" t="n">
        <v>6851.04</v>
      </c>
      <c r="G17" s="8" t="n">
        <v>7350.91</v>
      </c>
      <c r="H17" s="8" t="n">
        <v>7534.11</v>
      </c>
      <c r="I17" s="8" t="n">
        <v>691.04</v>
      </c>
      <c r="J17" s="8" t="n">
        <v>617.58</v>
      </c>
      <c r="K17" s="8" t="n">
        <v>598.73</v>
      </c>
      <c r="L17" s="8" t="n">
        <v>666.39</v>
      </c>
      <c r="M17" s="8" t="n">
        <v>673.1</v>
      </c>
      <c r="N17" s="8" t="n">
        <v>693.83</v>
      </c>
    </row>
    <row r="18" customFormat="false" ht="15" hidden="false" customHeight="false" outlineLevel="0" collapsed="false">
      <c r="A18" s="7" t="s">
        <v>33</v>
      </c>
      <c r="B18" s="7" t="s">
        <v>34</v>
      </c>
      <c r="C18" s="8" t="n">
        <v>28704.06</v>
      </c>
      <c r="D18" s="8" t="n">
        <v>26716.83</v>
      </c>
      <c r="E18" s="8" t="n">
        <v>26178.25</v>
      </c>
      <c r="F18" s="8" t="n">
        <v>25710.27</v>
      </c>
      <c r="G18" s="8" t="n">
        <v>26337.53</v>
      </c>
      <c r="H18" s="8" t="n">
        <v>28635.78</v>
      </c>
      <c r="I18" s="8" t="n">
        <v>726.85</v>
      </c>
      <c r="J18" s="8" t="n">
        <v>721.13</v>
      </c>
      <c r="K18" s="8" t="n">
        <v>746.4</v>
      </c>
      <c r="L18" s="8" t="n">
        <v>730.75</v>
      </c>
      <c r="M18" s="8" t="n">
        <v>745.61</v>
      </c>
      <c r="N18" s="8" t="n">
        <v>807.29</v>
      </c>
    </row>
    <row r="19" customFormat="false" ht="15" hidden="false" customHeight="false" outlineLevel="0" collapsed="false">
      <c r="A19" s="7" t="s">
        <v>35</v>
      </c>
      <c r="B19" s="7" t="s">
        <v>36</v>
      </c>
      <c r="C19" s="8" t="n">
        <v>42156.3</v>
      </c>
      <c r="D19" s="8" t="n">
        <v>44978.19</v>
      </c>
      <c r="E19" s="8" t="n">
        <v>44988</v>
      </c>
      <c r="F19" s="8" t="n">
        <v>46244.59</v>
      </c>
      <c r="G19" s="8" t="n">
        <v>48575.41</v>
      </c>
      <c r="H19" s="8" t="n">
        <v>51464.14</v>
      </c>
      <c r="I19" s="8" t="n">
        <v>967.83</v>
      </c>
      <c r="J19" s="8" t="n">
        <v>1041.7</v>
      </c>
      <c r="K19" s="8" t="n">
        <v>1096.42</v>
      </c>
      <c r="L19" s="8" t="n">
        <v>1195.6</v>
      </c>
      <c r="M19" s="8" t="n">
        <v>1241.04</v>
      </c>
      <c r="N19" s="8" t="n">
        <v>1265.99</v>
      </c>
    </row>
    <row r="20" customFormat="false" ht="15" hidden="false" customHeight="false" outlineLevel="0" collapsed="false">
      <c r="A20" s="7" t="s">
        <v>37</v>
      </c>
      <c r="B20" s="7" t="s">
        <v>38</v>
      </c>
      <c r="C20" s="8" t="n">
        <v>12448.02</v>
      </c>
      <c r="D20" s="8" t="n">
        <v>11777.49</v>
      </c>
      <c r="E20" s="8" t="n">
        <v>12666.86</v>
      </c>
      <c r="F20" s="8" t="n">
        <v>13404.19</v>
      </c>
      <c r="G20" s="8" t="n">
        <v>14189.42</v>
      </c>
      <c r="H20" s="8" t="n">
        <v>15038.14</v>
      </c>
      <c r="I20" s="8" t="n">
        <v>479.73</v>
      </c>
      <c r="J20" s="8" t="n">
        <v>485.7</v>
      </c>
      <c r="K20" s="8" t="n">
        <v>540.88</v>
      </c>
      <c r="L20" s="8" t="n">
        <v>595.55</v>
      </c>
      <c r="M20" s="8" t="n">
        <v>606.7</v>
      </c>
      <c r="N20" s="8" t="n">
        <v>621.83</v>
      </c>
    </row>
    <row r="21" customFormat="false" ht="15" hidden="false" customHeight="false" outlineLevel="0" collapsed="false">
      <c r="A21" s="7" t="s">
        <v>39</v>
      </c>
      <c r="B21" s="7" t="s">
        <v>40</v>
      </c>
      <c r="C21" s="8" t="n">
        <v>32912.01</v>
      </c>
      <c r="D21" s="8" t="n">
        <v>32045.37</v>
      </c>
      <c r="E21" s="8" t="n">
        <v>32305.31</v>
      </c>
      <c r="F21" s="8" t="n">
        <v>35559.49</v>
      </c>
      <c r="G21" s="8" t="n">
        <v>38253.41</v>
      </c>
      <c r="H21" s="8" t="n">
        <v>41286.15</v>
      </c>
      <c r="I21" s="8" t="n">
        <v>1131.8</v>
      </c>
      <c r="J21" s="8" t="n">
        <v>1097.74</v>
      </c>
      <c r="K21" s="8" t="n">
        <v>1195.11</v>
      </c>
      <c r="L21" s="8" t="n">
        <v>1336.93</v>
      </c>
      <c r="M21" s="8" t="n">
        <v>1388.12</v>
      </c>
      <c r="N21" s="8" t="n">
        <v>1514.21</v>
      </c>
    </row>
    <row r="22" customFormat="false" ht="15" hidden="false" customHeight="false" outlineLevel="0" collapsed="false">
      <c r="A22" s="9"/>
      <c r="B22" s="10" t="s">
        <v>41</v>
      </c>
      <c r="C22" s="11" t="n">
        <f aca="false">SUM(C5:C21)</f>
        <v>1490959.7</v>
      </c>
      <c r="D22" s="11" t="n">
        <f aca="false">SUM(D5:D21)</f>
        <v>1453380.73</v>
      </c>
      <c r="E22" s="11" t="n">
        <f aca="false">SUM(E5:E21)</f>
        <v>1507746.4</v>
      </c>
      <c r="F22" s="11" t="n">
        <f aca="false">SUM(F5:F21)</f>
        <v>1589984.93</v>
      </c>
      <c r="G22" s="11" t="n">
        <f aca="false">SUM(G5:G21)</f>
        <v>1669421.5</v>
      </c>
      <c r="H22" s="11" t="n">
        <f aca="false">SUM(H5:H21)</f>
        <v>1752071.2</v>
      </c>
      <c r="I22" s="11" t="n">
        <f aca="false">SUM(I5:I21)</f>
        <v>32295.74</v>
      </c>
      <c r="J22" s="11" t="n">
        <f aca="false">SUM(J5:J21)</f>
        <v>32162.74</v>
      </c>
      <c r="K22" s="11" t="n">
        <f aca="false">SUM(K5:K21)</f>
        <v>33372.44</v>
      </c>
      <c r="L22" s="11" t="n">
        <f aca="false">SUM(L5:L21)</f>
        <v>35258.86</v>
      </c>
      <c r="M22" s="11" t="n">
        <f aca="false">SUM(M5:M21)</f>
        <v>37055.35</v>
      </c>
      <c r="N22" s="11" t="n">
        <f aca="false">SUM(N5:N21)</f>
        <v>38964.67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8" min="3" style="0" width="10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10"/>
  </cols>
  <sheetData>
    <row r="1" customFormat="false" ht="21.75" hidden="false" customHeight="true" outlineLevel="0" collapsed="false">
      <c r="A1" s="1" t="s">
        <v>42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43</v>
      </c>
    </row>
    <row r="3" customFormat="false" ht="15" hidden="false" customHeight="false" outlineLevel="0" collapsed="false">
      <c r="A3" s="4" t="s">
        <v>44</v>
      </c>
    </row>
    <row r="4" customFormat="false" ht="15" hidden="false" customHeight="false" outlineLevel="0" collapsed="false">
      <c r="A4" s="4" t="s">
        <v>45</v>
      </c>
    </row>
    <row r="6" customFormat="false" ht="31.5" hidden="false" customHeight="true" outlineLevel="0" collapsed="false">
      <c r="A6" s="12" t="s">
        <v>5</v>
      </c>
      <c r="B6" s="12" t="s">
        <v>6</v>
      </c>
      <c r="C6" s="12" t="s">
        <v>46</v>
      </c>
      <c r="D6" s="12" t="s">
        <v>47</v>
      </c>
      <c r="E6" s="12" t="s">
        <v>48</v>
      </c>
      <c r="F6" s="12" t="s">
        <v>49</v>
      </c>
      <c r="G6" s="12" t="s">
        <v>50</v>
      </c>
      <c r="H6" s="12" t="s">
        <v>51</v>
      </c>
      <c r="I6" s="12" t="s">
        <v>52</v>
      </c>
      <c r="J6" s="12" t="s">
        <v>53</v>
      </c>
      <c r="K6" s="12" t="s">
        <v>54</v>
      </c>
    </row>
    <row r="7" customFormat="false" ht="15" hidden="false" customHeight="false" outlineLevel="0" collapsed="false">
      <c r="A7" s="7" t="str">
        <f aca="false">PDRB!A5</f>
        <v>A</v>
      </c>
      <c r="B7" s="7" t="str">
        <f aca="false">PDRB!B5</f>
        <v>Pertanian, Kehutanan, dan Perikanan</v>
      </c>
      <c r="C7" s="13" t="n">
        <f aca="false">IFERROR((PDRB!I5/PDRB!$I$22)/(PDRB!C5/PDRB!$C$22),0)</f>
        <v>0.105827202905586</v>
      </c>
      <c r="D7" s="13" t="n">
        <f aca="false">IFERROR((PDRB!J5/PDRB!$J$22)/(PDRB!D5/PDRB!$D$22),0)</f>
        <v>0.103535428745051</v>
      </c>
      <c r="E7" s="13" t="n">
        <f aca="false">IFERROR((PDRB!K5/PDRB!$K$22)/(PDRB!E5/PDRB!$E$22),0)</f>
        <v>0.107819678341662</v>
      </c>
      <c r="F7" s="13" t="n">
        <f aca="false">IFERROR((PDRB!L5/PDRB!$L$22)/(PDRB!F5/PDRB!$F$22),0)</f>
        <v>0.106538892284559</v>
      </c>
      <c r="G7" s="13" t="n">
        <f aca="false">IFERROR((PDRB!M5/PDRB!$M$22)/(PDRB!G5/PDRB!$G$22),0)</f>
        <v>0.10971925181606</v>
      </c>
      <c r="H7" s="13" t="n">
        <f aca="false">IFERROR((PDRB!N5/PDRB!$N$22)/(PDRB!H5/PDRB!$H$22),0)</f>
        <v>0.109081098628887</v>
      </c>
      <c r="I7" s="14" t="n">
        <f aca="false">AVERAGE(C7:H7)</f>
        <v>0.107086925453634</v>
      </c>
      <c r="J7" s="15" t="str">
        <f aca="false">IF(I7&gt;=1,"Basis (unggulan)","Non-basis")</f>
        <v>Non-basis</v>
      </c>
      <c r="K7" s="16" t="n">
        <f aca="false">RANK(I7,$I$7:$I$23)</f>
        <v>16</v>
      </c>
    </row>
    <row r="8" customFormat="false" ht="15" hidden="false" customHeight="false" outlineLevel="0" collapsed="false">
      <c r="A8" s="7" t="str">
        <f aca="false">PDRB!A6</f>
        <v>B</v>
      </c>
      <c r="B8" s="7" t="str">
        <f aca="false">PDRB!B6</f>
        <v>Pertambangan dan Penggalian</v>
      </c>
      <c r="C8" s="13" t="n">
        <f aca="false">IFERROR((PDRB!I6/PDRB!$I$22)/(PDRB!C6/PDRB!$C$22),0)</f>
        <v>0</v>
      </c>
      <c r="D8" s="13" t="n">
        <f aca="false">IFERROR((PDRB!J6/PDRB!$J$22)/(PDRB!D6/PDRB!$D$22),0)</f>
        <v>0</v>
      </c>
      <c r="E8" s="13" t="n">
        <f aca="false">IFERROR((PDRB!K6/PDRB!$K$22)/(PDRB!E6/PDRB!$E$22),0)</f>
        <v>0</v>
      </c>
      <c r="F8" s="13" t="n">
        <f aca="false">IFERROR((PDRB!L6/PDRB!$L$22)/(PDRB!F6/PDRB!$F$22),0)</f>
        <v>0</v>
      </c>
      <c r="G8" s="13" t="n">
        <f aca="false">IFERROR((PDRB!M6/PDRB!$M$22)/(PDRB!G6/PDRB!$G$22),0)</f>
        <v>0</v>
      </c>
      <c r="H8" s="13" t="n">
        <f aca="false">IFERROR((PDRB!N6/PDRB!$N$22)/(PDRB!H6/PDRB!$H$22),0)</f>
        <v>0</v>
      </c>
      <c r="I8" s="14" t="n">
        <f aca="false">AVERAGE(C8:H8)</f>
        <v>0</v>
      </c>
      <c r="J8" s="15" t="str">
        <f aca="false">IF(I8&gt;=1,"Basis (unggulan)","Non-basis")</f>
        <v>Non-basis</v>
      </c>
      <c r="K8" s="16" t="n">
        <f aca="false">RANK(I8,$I$7:$I$23)</f>
        <v>17</v>
      </c>
    </row>
    <row r="9" customFormat="false" ht="15" hidden="false" customHeight="false" outlineLevel="0" collapsed="false">
      <c r="A9" s="7" t="str">
        <f aca="false">PDRB!A7</f>
        <v>C</v>
      </c>
      <c r="B9" s="7" t="str">
        <f aca="false">PDRB!B7</f>
        <v>Industri Pengolahan</v>
      </c>
      <c r="C9" s="13" t="n">
        <f aca="false">IFERROR((PDRB!I7/PDRB!$I$22)/(PDRB!C7/PDRB!$C$22),0)</f>
        <v>0.437025703212435</v>
      </c>
      <c r="D9" s="13" t="n">
        <f aca="false">IFERROR((PDRB!J7/PDRB!$J$22)/(PDRB!D7/PDRB!$D$22),0)</f>
        <v>0.443579834539272</v>
      </c>
      <c r="E9" s="13" t="n">
        <f aca="false">IFERROR((PDRB!K7/PDRB!$K$22)/(PDRB!E7/PDRB!$E$22),0)</f>
        <v>0.444489278361348</v>
      </c>
      <c r="F9" s="13" t="n">
        <f aca="false">IFERROR((PDRB!L7/PDRB!$L$22)/(PDRB!F7/PDRB!$F$22),0)</f>
        <v>0.435690605782705</v>
      </c>
      <c r="G9" s="13" t="n">
        <f aca="false">IFERROR((PDRB!M7/PDRB!$M$22)/(PDRB!G7/PDRB!$G$22),0)</f>
        <v>0.432046536148278</v>
      </c>
      <c r="H9" s="13" t="n">
        <f aca="false">IFERROR((PDRB!N7/PDRB!$N$22)/(PDRB!H7/PDRB!$H$22),0)</f>
        <v>0.426726723451344</v>
      </c>
      <c r="I9" s="14" t="n">
        <f aca="false">AVERAGE(C9:H9)</f>
        <v>0.436593113582563</v>
      </c>
      <c r="J9" s="15" t="str">
        <f aca="false">IF(I9&gt;=1,"Basis (unggulan)","Non-basis")</f>
        <v>Non-basis</v>
      </c>
      <c r="K9" s="16" t="n">
        <f aca="false">RANK(I9,$I$7:$I$23)</f>
        <v>15</v>
      </c>
    </row>
    <row r="10" customFormat="false" ht="15" hidden="false" customHeight="false" outlineLevel="0" collapsed="false">
      <c r="A10" s="7" t="str">
        <f aca="false">PDRB!A8</f>
        <v>D</v>
      </c>
      <c r="B10" s="7" t="str">
        <f aca="false">PDRB!B8</f>
        <v>Pengadaan Listrik dan Gas</v>
      </c>
      <c r="C10" s="13" t="n">
        <f aca="false">IFERROR((PDRB!I8/PDRB!$I$22)/(PDRB!C8/PDRB!$C$22),0)</f>
        <v>6.6289315766995</v>
      </c>
      <c r="D10" s="13" t="n">
        <f aca="false">IFERROR((PDRB!J8/PDRB!$J$22)/(PDRB!D8/PDRB!$D$22),0)</f>
        <v>6.60314755802488</v>
      </c>
      <c r="E10" s="13" t="n">
        <f aca="false">IFERROR((PDRB!K8/PDRB!$K$22)/(PDRB!E8/PDRB!$E$22),0)</f>
        <v>6.6275153782318</v>
      </c>
      <c r="F10" s="13" t="n">
        <f aca="false">IFERROR((PDRB!L8/PDRB!$L$22)/(PDRB!F8/PDRB!$F$22),0)</f>
        <v>6.89155035867413</v>
      </c>
      <c r="G10" s="13" t="n">
        <f aca="false">IFERROR((PDRB!M8/PDRB!$M$22)/(PDRB!G8/PDRB!$G$22),0)</f>
        <v>6.69230862267682</v>
      </c>
      <c r="H10" s="13" t="n">
        <f aca="false">IFERROR((PDRB!N8/PDRB!$N$22)/(PDRB!H8/PDRB!$H$22),0)</f>
        <v>6.52788306812467</v>
      </c>
      <c r="I10" s="14" t="n">
        <f aca="false">AVERAGE(C10:H10)</f>
        <v>6.66188942707197</v>
      </c>
      <c r="J10" s="15" t="str">
        <f aca="false">IF(I10&gt;=1,"Basis (unggulan)","Non-basis")</f>
        <v>Basis (unggulan)</v>
      </c>
      <c r="K10" s="16" t="n">
        <f aca="false">RANK(I10,$I$7:$I$23)</f>
        <v>1</v>
      </c>
    </row>
    <row r="11" customFormat="false" ht="15" hidden="false" customHeight="false" outlineLevel="0" collapsed="false">
      <c r="A11" s="7" t="str">
        <f aca="false">PDRB!A9</f>
        <v>E</v>
      </c>
      <c r="B11" s="7" t="str">
        <f aca="false">PDRB!B9</f>
        <v>Pengadaan Air, Pengelolaan Sampah, Limbah dan Daur Ulang</v>
      </c>
      <c r="C11" s="13" t="n">
        <f aca="false">IFERROR((PDRB!I9/PDRB!$I$22)/(PDRB!C9/PDRB!$C$22),0)</f>
        <v>1.29264171003234</v>
      </c>
      <c r="D11" s="13" t="n">
        <f aca="false">IFERROR((PDRB!J9/PDRB!$J$22)/(PDRB!D9/PDRB!$D$22),0)</f>
        <v>1.25777076885653</v>
      </c>
      <c r="E11" s="13" t="n">
        <f aca="false">IFERROR((PDRB!K9/PDRB!$K$22)/(PDRB!E9/PDRB!$E$22),0)</f>
        <v>1.26536774901344</v>
      </c>
      <c r="F11" s="13" t="n">
        <f aca="false">IFERROR((PDRB!L9/PDRB!$L$22)/(PDRB!F9/PDRB!$F$22),0)</f>
        <v>1.31366696429605</v>
      </c>
      <c r="G11" s="13" t="n">
        <f aca="false">IFERROR((PDRB!M9/PDRB!$M$22)/(PDRB!G9/PDRB!$G$22),0)</f>
        <v>1.41809549864236</v>
      </c>
      <c r="H11" s="13" t="n">
        <f aca="false">IFERROR((PDRB!N9/PDRB!$N$22)/(PDRB!H9/PDRB!$H$22),0)</f>
        <v>1.45784408266429</v>
      </c>
      <c r="I11" s="14" t="n">
        <f aca="false">AVERAGE(C11:H11)</f>
        <v>1.3342311289175</v>
      </c>
      <c r="J11" s="15" t="str">
        <f aca="false">IF(I11&gt;=1,"Basis (unggulan)","Non-basis")</f>
        <v>Basis (unggulan)</v>
      </c>
      <c r="K11" s="16" t="n">
        <f aca="false">RANK(I11,$I$7:$I$23)</f>
        <v>11</v>
      </c>
    </row>
    <row r="12" customFormat="false" ht="15" hidden="false" customHeight="false" outlineLevel="0" collapsed="false">
      <c r="A12" s="7" t="str">
        <f aca="false">PDRB!A10</f>
        <v>F</v>
      </c>
      <c r="B12" s="7" t="str">
        <f aca="false">PDRB!B10</f>
        <v>Konstruksi</v>
      </c>
      <c r="C12" s="13" t="n">
        <f aca="false">IFERROR((PDRB!I10/PDRB!$I$22)/(PDRB!C10/PDRB!$C$22),0)</f>
        <v>1.39621865546629</v>
      </c>
      <c r="D12" s="13" t="n">
        <f aca="false">IFERROR((PDRB!J10/PDRB!$J$22)/(PDRB!D10/PDRB!$D$22),0)</f>
        <v>1.36811395960556</v>
      </c>
      <c r="E12" s="13" t="n">
        <f aca="false">IFERROR((PDRB!K10/PDRB!$K$22)/(PDRB!E10/PDRB!$E$22),0)</f>
        <v>1.30414028834505</v>
      </c>
      <c r="F12" s="13" t="n">
        <f aca="false">IFERROR((PDRB!L10/PDRB!$L$22)/(PDRB!F10/PDRB!$F$22),0)</f>
        <v>1.31244439798892</v>
      </c>
      <c r="G12" s="13" t="n">
        <f aca="false">IFERROR((PDRB!M10/PDRB!$M$22)/(PDRB!G10/PDRB!$G$22),0)</f>
        <v>1.38124319688112</v>
      </c>
      <c r="H12" s="13" t="n">
        <f aca="false">IFERROR((PDRB!N10/PDRB!$N$22)/(PDRB!H10/PDRB!$H$22),0)</f>
        <v>1.30244970203571</v>
      </c>
      <c r="I12" s="14" t="n">
        <f aca="false">AVERAGE(C12:H12)</f>
        <v>1.34410170005377</v>
      </c>
      <c r="J12" s="15" t="str">
        <f aca="false">IF(I12&gt;=1,"Basis (unggulan)","Non-basis")</f>
        <v>Basis (unggulan)</v>
      </c>
      <c r="K12" s="16" t="n">
        <f aca="false">RANK(I12,$I$7:$I$23)</f>
        <v>10</v>
      </c>
    </row>
    <row r="13" customFormat="false" ht="15" hidden="false" customHeight="false" outlineLevel="0" collapsed="false">
      <c r="A13" s="7" t="str">
        <f aca="false">PDRB!A11</f>
        <v>G</v>
      </c>
      <c r="B13" s="7" t="str">
        <f aca="false">PDRB!B11</f>
        <v>Perdagangan Besar dan Eceran</v>
      </c>
      <c r="C13" s="13" t="n">
        <f aca="false">IFERROR((PDRB!I11/PDRB!$I$22)/(PDRB!C11/PDRB!$C$22),0)</f>
        <v>1.33707128098298</v>
      </c>
      <c r="D13" s="13" t="n">
        <f aca="false">IFERROR((PDRB!J11/PDRB!$J$22)/(PDRB!D11/PDRB!$D$22),0)</f>
        <v>1.30910835275846</v>
      </c>
      <c r="E13" s="13" t="n">
        <f aca="false">IFERROR((PDRB!K11/PDRB!$K$22)/(PDRB!E11/PDRB!$E$22),0)</f>
        <v>1.30292797589272</v>
      </c>
      <c r="F13" s="13" t="n">
        <f aca="false">IFERROR((PDRB!L11/PDRB!$L$22)/(PDRB!F11/PDRB!$F$22),0)</f>
        <v>1.31499642320963</v>
      </c>
      <c r="G13" s="13" t="n">
        <f aca="false">IFERROR((PDRB!M11/PDRB!$M$22)/(PDRB!G11/PDRB!$G$22),0)</f>
        <v>1.30577863703266</v>
      </c>
      <c r="H13" s="13" t="n">
        <f aca="false">IFERROR((PDRB!N11/PDRB!$N$22)/(PDRB!H11/PDRB!$H$22),0)</f>
        <v>1.28191792678637</v>
      </c>
      <c r="I13" s="14" t="n">
        <f aca="false">AVERAGE(C13:H13)</f>
        <v>1.30863343277714</v>
      </c>
      <c r="J13" s="15" t="str">
        <f aca="false">IF(I13&gt;=1,"Basis (unggulan)","Non-basis")</f>
        <v>Basis (unggulan)</v>
      </c>
      <c r="K13" s="16" t="n">
        <f aca="false">RANK(I13,$I$7:$I$23)</f>
        <v>12</v>
      </c>
    </row>
    <row r="14" customFormat="false" ht="15" hidden="false" customHeight="false" outlineLevel="0" collapsed="false">
      <c r="A14" s="7" t="str">
        <f aca="false">PDRB!A12</f>
        <v>H</v>
      </c>
      <c r="B14" s="7" t="str">
        <f aca="false">PDRB!B12</f>
        <v>Transportasi dan Pergudangan</v>
      </c>
      <c r="C14" s="13" t="n">
        <f aca="false">IFERROR((PDRB!I12/PDRB!$I$22)/(PDRB!C12/PDRB!$C$22),0)</f>
        <v>2.55545917543622</v>
      </c>
      <c r="D14" s="13" t="n">
        <f aca="false">IFERROR((PDRB!J12/PDRB!$J$22)/(PDRB!D12/PDRB!$D$22),0)</f>
        <v>2.5549037343633</v>
      </c>
      <c r="E14" s="13" t="n">
        <f aca="false">IFERROR((PDRB!K12/PDRB!$K$22)/(PDRB!E12/PDRB!$E$22),0)</f>
        <v>2.63282753802517</v>
      </c>
      <c r="F14" s="13" t="n">
        <f aca="false">IFERROR((PDRB!L12/PDRB!$L$22)/(PDRB!F12/PDRB!$F$22),0)</f>
        <v>2.59882804188454</v>
      </c>
      <c r="G14" s="13" t="n">
        <f aca="false">IFERROR((PDRB!M12/PDRB!$M$22)/(PDRB!G12/PDRB!$G$22),0)</f>
        <v>2.55119159982042</v>
      </c>
      <c r="H14" s="13" t="n">
        <f aca="false">IFERROR((PDRB!N12/PDRB!$N$22)/(PDRB!H12/PDRB!$H$22),0)</f>
        <v>2.54309797819854</v>
      </c>
      <c r="I14" s="14" t="n">
        <f aca="false">AVERAGE(C14:H14)</f>
        <v>2.57271801128803</v>
      </c>
      <c r="J14" s="15" t="str">
        <f aca="false">IF(I14&gt;=1,"Basis (unggulan)","Non-basis")</f>
        <v>Basis (unggulan)</v>
      </c>
      <c r="K14" s="16" t="n">
        <f aca="false">RANK(I14,$I$7:$I$23)</f>
        <v>4</v>
      </c>
    </row>
    <row r="15" customFormat="false" ht="15" hidden="false" customHeight="false" outlineLevel="0" collapsed="false">
      <c r="A15" s="7" t="str">
        <f aca="false">PDRB!A13</f>
        <v>I</v>
      </c>
      <c r="B15" s="7" t="str">
        <f aca="false">PDRB!B13</f>
        <v>Penyediaan Akomodasi dan Makan Minum</v>
      </c>
      <c r="C15" s="13" t="n">
        <f aca="false">IFERROR((PDRB!I13/PDRB!$I$22)/(PDRB!C13/PDRB!$C$22),0)</f>
        <v>1.69545985284712</v>
      </c>
      <c r="D15" s="13" t="n">
        <f aca="false">IFERROR((PDRB!J13/PDRB!$J$22)/(PDRB!D13/PDRB!$D$22),0)</f>
        <v>1.78991422440178</v>
      </c>
      <c r="E15" s="13" t="n">
        <f aca="false">IFERROR((PDRB!K13/PDRB!$K$22)/(PDRB!E13/PDRB!$E$22),0)</f>
        <v>1.81401050348757</v>
      </c>
      <c r="F15" s="13" t="n">
        <f aca="false">IFERROR((PDRB!L13/PDRB!$L$22)/(PDRB!F13/PDRB!$F$22),0)</f>
        <v>1.81979452530524</v>
      </c>
      <c r="G15" s="13" t="n">
        <f aca="false">IFERROR((PDRB!M13/PDRB!$M$22)/(PDRB!G13/PDRB!$G$22),0)</f>
        <v>1.76014268444485</v>
      </c>
      <c r="H15" s="13" t="n">
        <f aca="false">IFERROR((PDRB!N13/PDRB!$N$22)/(PDRB!H13/PDRB!$H$22),0)</f>
        <v>1.7732460787319</v>
      </c>
      <c r="I15" s="14" t="n">
        <f aca="false">AVERAGE(C15:H15)</f>
        <v>1.77542797820308</v>
      </c>
      <c r="J15" s="15" t="str">
        <f aca="false">IF(I15&gt;=1,"Basis (unggulan)","Non-basis")</f>
        <v>Basis (unggulan)</v>
      </c>
      <c r="K15" s="16" t="n">
        <f aca="false">RANK(I15,$I$7:$I$23)</f>
        <v>6</v>
      </c>
    </row>
    <row r="16" customFormat="false" ht="15" hidden="false" customHeight="false" outlineLevel="0" collapsed="false">
      <c r="A16" s="7" t="str">
        <f aca="false">PDRB!A14</f>
        <v>J</v>
      </c>
      <c r="B16" s="7" t="str">
        <f aca="false">PDRB!B14</f>
        <v>Informasi dan Komunikasi</v>
      </c>
      <c r="C16" s="13" t="n">
        <f aca="false">IFERROR((PDRB!I14/PDRB!$I$22)/(PDRB!C14/PDRB!$C$22),0)</f>
        <v>1.62930583984786</v>
      </c>
      <c r="D16" s="13" t="n">
        <f aca="false">IFERROR((PDRB!J14/PDRB!$J$22)/(PDRB!D14/PDRB!$D$22),0)</f>
        <v>1.60832644947871</v>
      </c>
      <c r="E16" s="13" t="n">
        <f aca="false">IFERROR((PDRB!K14/PDRB!$K$22)/(PDRB!E14/PDRB!$E$22),0)</f>
        <v>1.56474055632924</v>
      </c>
      <c r="F16" s="13" t="n">
        <f aca="false">IFERROR((PDRB!L14/PDRB!$L$22)/(PDRB!F14/PDRB!$F$22),0)</f>
        <v>1.54736725933578</v>
      </c>
      <c r="G16" s="13" t="n">
        <f aca="false">IFERROR((PDRB!M14/PDRB!$M$22)/(PDRB!G14/PDRB!$G$22),0)</f>
        <v>1.52679528012026</v>
      </c>
      <c r="H16" s="13" t="n">
        <f aca="false">IFERROR((PDRB!N14/PDRB!$N$22)/(PDRB!H14/PDRB!$H$22),0)</f>
        <v>1.56168465278635</v>
      </c>
      <c r="I16" s="14" t="n">
        <f aca="false">AVERAGE(C16:H16)</f>
        <v>1.57303667298303</v>
      </c>
      <c r="J16" s="15" t="str">
        <f aca="false">IF(I16&gt;=1,"Basis (unggulan)","Non-basis")</f>
        <v>Basis (unggulan)</v>
      </c>
      <c r="K16" s="16" t="n">
        <f aca="false">RANK(I16,$I$7:$I$23)</f>
        <v>9</v>
      </c>
    </row>
    <row r="17" customFormat="false" ht="15" hidden="false" customHeight="false" outlineLevel="0" collapsed="false">
      <c r="A17" s="7" t="str">
        <f aca="false">PDRB!A15</f>
        <v>K</v>
      </c>
      <c r="B17" s="7" t="str">
        <f aca="false">PDRB!B15</f>
        <v>Jasa Keuangan dan Asuransi</v>
      </c>
      <c r="C17" s="13" t="n">
        <f aca="false">IFERROR((PDRB!I15/PDRB!$I$22)/(PDRB!C15/PDRB!$C$22),0)</f>
        <v>2.7670010057945</v>
      </c>
      <c r="D17" s="13" t="n">
        <f aca="false">IFERROR((PDRB!J15/PDRB!$J$22)/(PDRB!D15/PDRB!$D$22),0)</f>
        <v>2.71053146198162</v>
      </c>
      <c r="E17" s="13" t="n">
        <f aca="false">IFERROR((PDRB!K15/PDRB!$K$22)/(PDRB!E15/PDRB!$E$22),0)</f>
        <v>2.60029259282297</v>
      </c>
      <c r="F17" s="13" t="n">
        <f aca="false">IFERROR((PDRB!L15/PDRB!$L$22)/(PDRB!F15/PDRB!$F$22),0)</f>
        <v>2.58822812402192</v>
      </c>
      <c r="G17" s="13" t="n">
        <f aca="false">IFERROR((PDRB!M15/PDRB!$M$22)/(PDRB!G15/PDRB!$G$22),0)</f>
        <v>2.51889151744457</v>
      </c>
      <c r="H17" s="13" t="n">
        <f aca="false">IFERROR((PDRB!N15/PDRB!$N$22)/(PDRB!H15/PDRB!$H$22),0)</f>
        <v>2.49956162204073</v>
      </c>
      <c r="I17" s="14" t="n">
        <f aca="false">AVERAGE(C17:H17)</f>
        <v>2.61408438735105</v>
      </c>
      <c r="J17" s="15" t="str">
        <f aca="false">IF(I17&gt;=1,"Basis (unggulan)","Non-basis")</f>
        <v>Basis (unggulan)</v>
      </c>
      <c r="K17" s="16" t="n">
        <f aca="false">RANK(I17,$I$7:$I$23)</f>
        <v>3</v>
      </c>
    </row>
    <row r="18" customFormat="false" ht="15" hidden="false" customHeight="false" outlineLevel="0" collapsed="false">
      <c r="A18" s="7" t="str">
        <f aca="false">PDRB!A16</f>
        <v>L</v>
      </c>
      <c r="B18" s="7" t="str">
        <f aca="false">PDRB!B16</f>
        <v>Real Estate</v>
      </c>
      <c r="C18" s="13" t="n">
        <f aca="false">IFERROR((PDRB!I16/PDRB!$I$22)/(PDRB!C16/PDRB!$C$22),0)</f>
        <v>1.75779418955666</v>
      </c>
      <c r="D18" s="13" t="n">
        <f aca="false">IFERROR((PDRB!J16/PDRB!$J$22)/(PDRB!D16/PDRB!$D$22),0)</f>
        <v>1.64830580915596</v>
      </c>
      <c r="E18" s="13" t="n">
        <f aca="false">IFERROR((PDRB!K16/PDRB!$K$22)/(PDRB!E16/PDRB!$E$22),0)</f>
        <v>1.68355844033651</v>
      </c>
      <c r="F18" s="13" t="n">
        <f aca="false">IFERROR((PDRB!L16/PDRB!$L$22)/(PDRB!F16/PDRB!$F$22),0)</f>
        <v>1.72123281875502</v>
      </c>
      <c r="G18" s="13" t="n">
        <f aca="false">IFERROR((PDRB!M16/PDRB!$M$22)/(PDRB!G16/PDRB!$G$22),0)</f>
        <v>1.65361769604681</v>
      </c>
      <c r="H18" s="13" t="n">
        <f aca="false">IFERROR((PDRB!N16/PDRB!$N$22)/(PDRB!H16/PDRB!$H$22),0)</f>
        <v>1.65356285802203</v>
      </c>
      <c r="I18" s="14" t="n">
        <f aca="false">AVERAGE(C18:H18)</f>
        <v>1.68634530197883</v>
      </c>
      <c r="J18" s="15" t="str">
        <f aca="false">IF(I18&gt;=1,"Basis (unggulan)","Non-basis")</f>
        <v>Basis (unggulan)</v>
      </c>
      <c r="K18" s="16" t="n">
        <f aca="false">RANK(I18,$I$7:$I$23)</f>
        <v>7</v>
      </c>
    </row>
    <row r="19" customFormat="false" ht="15" hidden="false" customHeight="false" outlineLevel="0" collapsed="false">
      <c r="A19" s="7" t="str">
        <f aca="false">PDRB!A17</f>
        <v>M,N</v>
      </c>
      <c r="B19" s="7" t="str">
        <f aca="false">PDRB!B17</f>
        <v>Jasa Perusahaan</v>
      </c>
      <c r="C19" s="13" t="n">
        <f aca="false">IFERROR((PDRB!I17/PDRB!$I$22)/(PDRB!C17/PDRB!$C$22),0)</f>
        <v>4.6507314345271</v>
      </c>
      <c r="D19" s="13" t="n">
        <f aca="false">IFERROR((PDRB!J17/PDRB!$J$22)/(PDRB!D17/PDRB!$D$22),0)</f>
        <v>4.98424986218482</v>
      </c>
      <c r="E19" s="13" t="n">
        <f aca="false">IFERROR((PDRB!K17/PDRB!$K$22)/(PDRB!E17/PDRB!$E$22),0)</f>
        <v>4.4509071543491</v>
      </c>
      <c r="F19" s="13" t="n">
        <f aca="false">IFERROR((PDRB!L17/PDRB!$L$22)/(PDRB!F17/PDRB!$F$22),0)</f>
        <v>4.38628361749456</v>
      </c>
      <c r="G19" s="13" t="n">
        <f aca="false">IFERROR((PDRB!M17/PDRB!$M$22)/(PDRB!G17/PDRB!$G$22),0)</f>
        <v>4.1252812958065</v>
      </c>
      <c r="H19" s="13" t="n">
        <f aca="false">IFERROR((PDRB!N17/PDRB!$N$22)/(PDRB!H17/PDRB!$H$22),0)</f>
        <v>4.14096791714827</v>
      </c>
      <c r="I19" s="14" t="n">
        <f aca="false">AVERAGE(C19:H19)</f>
        <v>4.45640354691839</v>
      </c>
      <c r="J19" s="15" t="str">
        <f aca="false">IF(I19&gt;=1,"Basis (unggulan)","Non-basis")</f>
        <v>Basis (unggulan)</v>
      </c>
      <c r="K19" s="16" t="n">
        <f aca="false">RANK(I19,$I$7:$I$23)</f>
        <v>2</v>
      </c>
    </row>
    <row r="20" customFormat="false" ht="15" hidden="false" customHeight="false" outlineLevel="0" collapsed="false">
      <c r="A20" s="7" t="str">
        <f aca="false">PDRB!A18</f>
        <v>O</v>
      </c>
      <c r="B20" s="7" t="str">
        <f aca="false">PDRB!B18</f>
        <v>Administrasi Pemerintahan, Pertahanan dan Jaminan Sosial Wajib</v>
      </c>
      <c r="C20" s="13" t="n">
        <f aca="false">IFERROR((PDRB!I18/PDRB!$I$22)/(PDRB!C18/PDRB!$C$22),0)</f>
        <v>1.16902050888111</v>
      </c>
      <c r="D20" s="13" t="n">
        <f aca="false">IFERROR((PDRB!J18/PDRB!$J$22)/(PDRB!D18/PDRB!$D$22),0)</f>
        <v>1.21970553287744</v>
      </c>
      <c r="E20" s="13" t="n">
        <f aca="false">IFERROR((PDRB!K18/PDRB!$K$22)/(PDRB!E18/PDRB!$E$22),0)</f>
        <v>1.28816459701272</v>
      </c>
      <c r="F20" s="13" t="n">
        <f aca="false">IFERROR((PDRB!L18/PDRB!$L$22)/(PDRB!F18/PDRB!$F$22),0)</f>
        <v>1.28170160503682</v>
      </c>
      <c r="G20" s="13" t="n">
        <f aca="false">IFERROR((PDRB!M18/PDRB!$M$22)/(PDRB!G18/PDRB!$G$22),0)</f>
        <v>1.27541571386932</v>
      </c>
      <c r="H20" s="13" t="n">
        <f aca="false">IFERROR((PDRB!N18/PDRB!$N$22)/(PDRB!H18/PDRB!$H$22),0)</f>
        <v>1.26765567230131</v>
      </c>
      <c r="I20" s="14" t="n">
        <f aca="false">AVERAGE(C20:H20)</f>
        <v>1.25027727166312</v>
      </c>
      <c r="J20" s="15" t="str">
        <f aca="false">IF(I20&gt;=1,"Basis (unggulan)","Non-basis")</f>
        <v>Basis (unggulan)</v>
      </c>
      <c r="K20" s="16" t="n">
        <f aca="false">RANK(I20,$I$7:$I$23)</f>
        <v>13</v>
      </c>
    </row>
    <row r="21" customFormat="false" ht="15" hidden="false" customHeight="false" outlineLevel="0" collapsed="false">
      <c r="A21" s="7" t="str">
        <f aca="false">PDRB!A19</f>
        <v>P</v>
      </c>
      <c r="B21" s="7" t="str">
        <f aca="false">PDRB!B19</f>
        <v>Jasa Pendidikan</v>
      </c>
      <c r="C21" s="13" t="n">
        <f aca="false">IFERROR((PDRB!I19/PDRB!$I$22)/(PDRB!C19/PDRB!$C$22),0)</f>
        <v>1.05988136933556</v>
      </c>
      <c r="D21" s="13" t="n">
        <f aca="false">IFERROR((PDRB!J19/PDRB!$J$22)/(PDRB!D19/PDRB!$D$22),0)</f>
        <v>1.04656702558579</v>
      </c>
      <c r="E21" s="13" t="n">
        <f aca="false">IFERROR((PDRB!K19/PDRB!$K$22)/(PDRB!E19/PDRB!$E$22),0)</f>
        <v>1.10108438004326</v>
      </c>
      <c r="F21" s="13" t="n">
        <f aca="false">IFERROR((PDRB!L19/PDRB!$L$22)/(PDRB!F19/PDRB!$F$22),0)</f>
        <v>1.1658688922389</v>
      </c>
      <c r="G21" s="13" t="n">
        <f aca="false">IFERROR((PDRB!M19/PDRB!$M$22)/(PDRB!G19/PDRB!$G$22),0)</f>
        <v>1.15102402125824</v>
      </c>
      <c r="H21" s="13" t="n">
        <f aca="false">IFERROR((PDRB!N19/PDRB!$N$22)/(PDRB!H19/PDRB!$H$22),0)</f>
        <v>1.10613033768251</v>
      </c>
      <c r="I21" s="14" t="n">
        <f aca="false">AVERAGE(C21:H21)</f>
        <v>1.10509267102404</v>
      </c>
      <c r="J21" s="15" t="str">
        <f aca="false">IF(I21&gt;=1,"Basis (unggulan)","Non-basis")</f>
        <v>Basis (unggulan)</v>
      </c>
      <c r="K21" s="16" t="n">
        <f aca="false">RANK(I21,$I$7:$I$23)</f>
        <v>14</v>
      </c>
    </row>
    <row r="22" customFormat="false" ht="15" hidden="false" customHeight="false" outlineLevel="0" collapsed="false">
      <c r="A22" s="7" t="str">
        <f aca="false">PDRB!A20</f>
        <v>Q</v>
      </c>
      <c r="B22" s="7" t="str">
        <f aca="false">PDRB!B20</f>
        <v>Jasa Kesehatan dan Kegiatan Sosial</v>
      </c>
      <c r="C22" s="13" t="n">
        <f aca="false">IFERROR((PDRB!I20/PDRB!$I$22)/(PDRB!C20/PDRB!$C$22),0)</f>
        <v>1.77916925575855</v>
      </c>
      <c r="D22" s="13" t="n">
        <f aca="false">IFERROR((PDRB!J20/PDRB!$J$22)/(PDRB!D20/PDRB!$D$22),0)</f>
        <v>1.86355286406931</v>
      </c>
      <c r="E22" s="13" t="n">
        <f aca="false">IFERROR((PDRB!K20/PDRB!$K$22)/(PDRB!E20/PDRB!$E$22),0)</f>
        <v>1.92917795996848</v>
      </c>
      <c r="F22" s="13" t="n">
        <f aca="false">IFERROR((PDRB!L20/PDRB!$L$22)/(PDRB!F20/PDRB!$F$22),0)</f>
        <v>2.00356019724662</v>
      </c>
      <c r="G22" s="13" t="n">
        <f aca="false">IFERROR((PDRB!M20/PDRB!$M$22)/(PDRB!G20/PDRB!$G$22),0)</f>
        <v>1.92630225845907</v>
      </c>
      <c r="H22" s="13" t="n">
        <f aca="false">IFERROR((PDRB!N20/PDRB!$N$22)/(PDRB!H20/PDRB!$H$22),0)</f>
        <v>1.85933778667332</v>
      </c>
      <c r="I22" s="14" t="n">
        <f aca="false">AVERAGE(C22:H22)</f>
        <v>1.89351672036256</v>
      </c>
      <c r="J22" s="15" t="str">
        <f aca="false">IF(I22&gt;=1,"Basis (unggulan)","Non-basis")</f>
        <v>Basis (unggulan)</v>
      </c>
      <c r="K22" s="16" t="n">
        <f aca="false">RANK(I22,$I$7:$I$23)</f>
        <v>5</v>
      </c>
    </row>
    <row r="23" customFormat="false" ht="15" hidden="false" customHeight="false" outlineLevel="0" collapsed="false">
      <c r="A23" s="7" t="str">
        <f aca="false">PDRB!A21</f>
        <v>R,S,T, U</v>
      </c>
      <c r="B23" s="7" t="str">
        <f aca="false">PDRB!B21</f>
        <v>Jasa lainnya</v>
      </c>
      <c r="C23" s="13" t="n">
        <f aca="false">IFERROR((PDRB!I21/PDRB!$I$22)/(PDRB!C21/PDRB!$C$22),0)</f>
        <v>1.58758120232797</v>
      </c>
      <c r="D23" s="13" t="n">
        <f aca="false">IFERROR((PDRB!J21/PDRB!$J$22)/(PDRB!D21/PDRB!$D$22),0)</f>
        <v>1.54796293265163</v>
      </c>
      <c r="E23" s="13" t="n">
        <f aca="false">IFERROR((PDRB!K21/PDRB!$K$22)/(PDRB!E21/PDRB!$E$22),0)</f>
        <v>1.67137655840353</v>
      </c>
      <c r="F23" s="13" t="n">
        <f aca="false">IFERROR((PDRB!L21/PDRB!$L$22)/(PDRB!F21/PDRB!$F$22),0)</f>
        <v>1.69542228268503</v>
      </c>
      <c r="G23" s="13" t="n">
        <f aca="false">IFERROR((PDRB!M21/PDRB!$M$22)/(PDRB!G21/PDRB!$G$22),0)</f>
        <v>1.63482751682546</v>
      </c>
      <c r="H23" s="13" t="n">
        <f aca="false">IFERROR((PDRB!N21/PDRB!$N$22)/(PDRB!H21/PDRB!$H$22),0)</f>
        <v>1.64915878395059</v>
      </c>
      <c r="I23" s="14" t="n">
        <f aca="false">AVERAGE(C23:H23)</f>
        <v>1.63105487947404</v>
      </c>
      <c r="J23" s="15" t="str">
        <f aca="false">IF(I23&gt;=1,"Basis (unggulan)","Non-basis")</f>
        <v>Basis (unggulan)</v>
      </c>
      <c r="K23" s="16" t="n">
        <f aca="false">RANK(I23,$I$7:$I$23)</f>
        <v>8</v>
      </c>
    </row>
    <row r="25" customFormat="false" ht="15" hidden="false" customHeight="false" outlineLevel="0" collapsed="false">
      <c r="A25" s="4" t="s">
        <v>55</v>
      </c>
    </row>
    <row r="26" customFormat="false" ht="15" hidden="false" customHeight="false" outlineLevel="0" collapsed="false">
      <c r="A26" s="17" t="s">
        <v>56</v>
      </c>
      <c r="I26" s="18" t="n">
        <f aca="false">COUNTIF($I$7:$I$23,"&gt;=1")</f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6" min="4" style="0" width="14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5" min="12" style="0" width="15"/>
    <col collapsed="false" customWidth="true" hidden="false" outlineLevel="0" max="17" min="16" style="0" width="14"/>
  </cols>
  <sheetData>
    <row r="1" customFormat="false" ht="21.75" hidden="false" customHeight="true" outlineLevel="0" collapsed="false">
      <c r="A1" s="1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3" t="s">
        <v>58</v>
      </c>
    </row>
    <row r="3" customFormat="false" ht="15" hidden="false" customHeight="false" outlineLevel="0" collapsed="false">
      <c r="A3" s="4" t="s">
        <v>59</v>
      </c>
    </row>
    <row r="5" customFormat="false" ht="15" hidden="false" customHeight="false" outlineLevel="0" collapsed="false">
      <c r="A5" s="17" t="s">
        <v>60</v>
      </c>
      <c r="D5" s="19" t="n">
        <v>2019</v>
      </c>
      <c r="F5" s="4" t="s">
        <v>61</v>
      </c>
    </row>
    <row r="6" customFormat="false" ht="15" hidden="false" customHeight="false" outlineLevel="0" collapsed="false">
      <c r="A6" s="17" t="s">
        <v>62</v>
      </c>
      <c r="D6" s="19" t="n">
        <v>2024</v>
      </c>
    </row>
    <row r="7" customFormat="false" ht="15" hidden="false" customHeight="false" outlineLevel="0" collapsed="false">
      <c r="A7" s="17" t="s">
        <v>63</v>
      </c>
      <c r="D7" s="11" t="n">
        <f aca="false">INDEX(PDRB!$C$22:$H$22,MATCH($D$5,PDRB!$C$4:$H$4,0))</f>
        <v>1490959.7</v>
      </c>
    </row>
    <row r="8" customFormat="false" ht="15" hidden="false" customHeight="false" outlineLevel="0" collapsed="false">
      <c r="A8" s="17" t="s">
        <v>64</v>
      </c>
      <c r="D8" s="11" t="n">
        <f aca="false">INDEX(PDRB!$C$22:$H$22,MATCH($D$6,PDRB!$C$4:$H$4,0))</f>
        <v>1752071.2</v>
      </c>
    </row>
    <row r="9" customFormat="false" ht="15" hidden="false" customHeight="false" outlineLevel="0" collapsed="false">
      <c r="A9" s="17" t="s">
        <v>65</v>
      </c>
      <c r="D9" s="20" t="n">
        <f aca="false">(D8-D7)/D7</f>
        <v>0.175129817392113</v>
      </c>
    </row>
    <row r="11" customFormat="false" ht="31.5" hidden="false" customHeight="true" outlineLevel="0" collapsed="false">
      <c r="A11" s="12" t="s">
        <v>5</v>
      </c>
      <c r="B11" s="12" t="s">
        <v>6</v>
      </c>
      <c r="C11" s="12" t="s">
        <v>66</v>
      </c>
      <c r="D11" s="12" t="s">
        <v>67</v>
      </c>
      <c r="E11" s="12" t="s">
        <v>68</v>
      </c>
      <c r="F11" s="12" t="s">
        <v>69</v>
      </c>
      <c r="G11" s="12" t="s">
        <v>70</v>
      </c>
      <c r="H11" s="12" t="s">
        <v>71</v>
      </c>
      <c r="I11" s="12" t="s">
        <v>72</v>
      </c>
      <c r="J11" s="12" t="s">
        <v>73</v>
      </c>
      <c r="K11" s="12" t="s">
        <v>74</v>
      </c>
      <c r="L11" s="12" t="s">
        <v>75</v>
      </c>
      <c r="M11" s="12" t="s">
        <v>76</v>
      </c>
      <c r="N11" s="12" t="s">
        <v>77</v>
      </c>
      <c r="O11" s="12" t="s">
        <v>78</v>
      </c>
      <c r="P11" s="12" t="s">
        <v>79</v>
      </c>
      <c r="Q11" s="12" t="s">
        <v>80</v>
      </c>
    </row>
    <row r="12" customFormat="false" ht="15" hidden="false" customHeight="false" outlineLevel="0" collapsed="false">
      <c r="A12" s="7" t="str">
        <f aca="false">PDRB!A5</f>
        <v>A</v>
      </c>
      <c r="B12" s="7" t="str">
        <f aca="false">PDRB!B5</f>
        <v>Pertanian, Kehutanan, dan Perikanan</v>
      </c>
      <c r="C12" s="8" t="n">
        <f aca="false">INDEX(PDRB!$I5:$N5,MATCH($D$5,PDRB!$I$4:$N$4,0))</f>
        <v>239.77</v>
      </c>
      <c r="D12" s="8" t="n">
        <f aca="false">INDEX(PDRB!$I5:$N5,MATCH($D$6,PDRB!$I$4:$N$4,0))</f>
        <v>279.23</v>
      </c>
      <c r="E12" s="8" t="n">
        <f aca="false">INDEX(PDRB!$C5:$H5,MATCH($D$5,PDRB!$C$4:$H$4,0))</f>
        <v>104596.75</v>
      </c>
      <c r="F12" s="8" t="n">
        <f aca="false">INDEX(PDRB!$C5:$H5,MATCH($D$6,PDRB!$C$4:$H$4,0))</f>
        <v>115104.77</v>
      </c>
      <c r="G12" s="21" t="n">
        <f aca="false">IFERROR((D12-C12)/C12,0)</f>
        <v>0.16457438378446</v>
      </c>
      <c r="H12" s="21" t="n">
        <f aca="false">IFERROR((F12-E12)/E12,0)</f>
        <v>0.100462203653555</v>
      </c>
      <c r="I12" s="21" t="n">
        <f aca="false">$D$9</f>
        <v>0.175129817392113</v>
      </c>
      <c r="J12" s="8" t="n">
        <f aca="false">C12*I12</f>
        <v>41.990876316107</v>
      </c>
      <c r="K12" s="8" t="n">
        <f aca="false">C12*(H12-I12)</f>
        <v>-17.9030537460941</v>
      </c>
      <c r="L12" s="8" t="n">
        <f aca="false">C12*(G12-I12)</f>
        <v>-2.530876316107</v>
      </c>
      <c r="M12" s="8" t="n">
        <f aca="false">J12+K12+L12</f>
        <v>21.5569462539059</v>
      </c>
      <c r="N12" s="8" t="n">
        <f aca="false">C12*(G12-H12)</f>
        <v>15.3721774299871</v>
      </c>
      <c r="O12" s="8" t="n">
        <f aca="false">J12+K12+N12</f>
        <v>39.46</v>
      </c>
      <c r="P12" s="8" t="n">
        <f aca="false">D12-C12</f>
        <v>39.46</v>
      </c>
      <c r="Q12" s="8" t="n">
        <f aca="false">O12-P12</f>
        <v>0</v>
      </c>
    </row>
    <row r="13" customFormat="false" ht="15" hidden="false" customHeight="false" outlineLevel="0" collapsed="false">
      <c r="A13" s="7" t="str">
        <f aca="false">PDRB!A6</f>
        <v>B</v>
      </c>
      <c r="B13" s="7" t="str">
        <f aca="false">PDRB!B6</f>
        <v>Pertambangan dan Penggalian</v>
      </c>
      <c r="C13" s="8" t="n">
        <f aca="false">INDEX(PDRB!$I6:$N6,MATCH($D$5,PDRB!$I$4:$N$4,0))</f>
        <v>0</v>
      </c>
      <c r="D13" s="8" t="n">
        <f aca="false">INDEX(PDRB!$I6:$N6,MATCH($D$6,PDRB!$I$4:$N$4,0))</f>
        <v>0</v>
      </c>
      <c r="E13" s="8" t="n">
        <f aca="false">INDEX(PDRB!$C6:$H6,MATCH($D$5,PDRB!$C$4:$H$4,0))</f>
        <v>24791.42</v>
      </c>
      <c r="F13" s="8" t="n">
        <f aca="false">INDEX(PDRB!$C6:$H6,MATCH($D$6,PDRB!$C$4:$H$4,0))</f>
        <v>23789.6</v>
      </c>
      <c r="G13" s="21" t="n">
        <f aca="false">IFERROR((D13-C13)/C13,0)</f>
        <v>0</v>
      </c>
      <c r="H13" s="21" t="n">
        <f aca="false">IFERROR((F13-E13)/E13,0)</f>
        <v>-0.0404099482804938</v>
      </c>
      <c r="I13" s="21" t="n">
        <f aca="false">$D$9</f>
        <v>0.175129817392113</v>
      </c>
      <c r="J13" s="8" t="n">
        <f aca="false">C13*I13</f>
        <v>0</v>
      </c>
      <c r="K13" s="8" t="n">
        <f aca="false">C13*(H13-I13)</f>
        <v>-0</v>
      </c>
      <c r="L13" s="8" t="n">
        <f aca="false">C13*(G13-I13)</f>
        <v>-0</v>
      </c>
      <c r="M13" s="8" t="n">
        <f aca="false">J13+K13+L13</f>
        <v>0</v>
      </c>
      <c r="N13" s="8" t="n">
        <f aca="false">C13*(G13-H13)</f>
        <v>0</v>
      </c>
      <c r="O13" s="8" t="n">
        <f aca="false">J13+K13+N13</f>
        <v>0</v>
      </c>
      <c r="P13" s="8" t="n">
        <f aca="false">D13-C13</f>
        <v>0</v>
      </c>
      <c r="Q13" s="8" t="n">
        <f aca="false">O13-P13</f>
        <v>0</v>
      </c>
    </row>
    <row r="14" customFormat="false" ht="15" hidden="false" customHeight="false" outlineLevel="0" collapsed="false">
      <c r="A14" s="7" t="str">
        <f aca="false">PDRB!A7</f>
        <v>C</v>
      </c>
      <c r="B14" s="7" t="str">
        <f aca="false">PDRB!B7</f>
        <v>Industri Pengolahan</v>
      </c>
      <c r="C14" s="8" t="n">
        <f aca="false">INDEX(PDRB!$I7:$N7,MATCH($D$5,PDRB!$I$4:$N$4,0))</f>
        <v>6065.72</v>
      </c>
      <c r="D14" s="8" t="n">
        <f aca="false">INDEX(PDRB!$I7:$N7,MATCH($D$6,PDRB!$I$4:$N$4,0))</f>
        <v>7032.53</v>
      </c>
      <c r="E14" s="8" t="n">
        <f aca="false">INDEX(PDRB!$C7:$H7,MATCH($D$5,PDRB!$C$4:$H$4,0))</f>
        <v>640760.96</v>
      </c>
      <c r="F14" s="8" t="n">
        <f aca="false">INDEX(PDRB!$C7:$H7,MATCH($D$6,PDRB!$C$4:$H$4,0))</f>
        <v>741041.45</v>
      </c>
      <c r="G14" s="21" t="n">
        <f aca="false">IFERROR((D14-C14)/C14,0)</f>
        <v>0.159389157428961</v>
      </c>
      <c r="H14" s="21" t="n">
        <f aca="false">IFERROR((F14-E14)/E14,0)</f>
        <v>0.156502184527597</v>
      </c>
      <c r="I14" s="21" t="n">
        <f aca="false">$D$9</f>
        <v>0.175129817392113</v>
      </c>
      <c r="J14" s="8" t="n">
        <f aca="false">C14*I14</f>
        <v>1062.28843595169</v>
      </c>
      <c r="K14" s="8" t="n">
        <f aca="false">C14*(H14-I14)</f>
        <v>-112.990005218956</v>
      </c>
      <c r="L14" s="8" t="n">
        <f aca="false">C14*(G14-I14)</f>
        <v>-95.47843595169</v>
      </c>
      <c r="M14" s="8" t="n">
        <f aca="false">J14+K14+L14</f>
        <v>853.819994781044</v>
      </c>
      <c r="N14" s="8" t="n">
        <f aca="false">C14*(G14-H14)</f>
        <v>17.5115692672657</v>
      </c>
      <c r="O14" s="8" t="n">
        <f aca="false">J14+K14+N14</f>
        <v>966.81</v>
      </c>
      <c r="P14" s="8" t="n">
        <f aca="false">D14-C14</f>
        <v>966.81</v>
      </c>
      <c r="Q14" s="8" t="n">
        <f aca="false">O14-P14</f>
        <v>0</v>
      </c>
    </row>
    <row r="15" customFormat="false" ht="15" hidden="false" customHeight="false" outlineLevel="0" collapsed="false">
      <c r="A15" s="7" t="str">
        <f aca="false">PDRB!A8</f>
        <v>D</v>
      </c>
      <c r="B15" s="7" t="str">
        <f aca="false">PDRB!B8</f>
        <v>Pengadaan Listrik dan Gas</v>
      </c>
      <c r="C15" s="8" t="n">
        <f aca="false">INDEX(PDRB!$I8:$N8,MATCH($D$5,PDRB!$I$4:$N$4,0))</f>
        <v>771.59</v>
      </c>
      <c r="D15" s="8" t="n">
        <f aca="false">INDEX(PDRB!$I8:$N8,MATCH($D$6,PDRB!$I$4:$N$4,0))</f>
        <v>844.77</v>
      </c>
      <c r="E15" s="8" t="n">
        <f aca="false">INDEX(PDRB!$C8:$H8,MATCH($D$5,PDRB!$C$4:$H$4,0))</f>
        <v>5373.58</v>
      </c>
      <c r="F15" s="8" t="n">
        <f aca="false">INDEX(PDRB!$C8:$H8,MATCH($D$6,PDRB!$C$4:$H$4,0))</f>
        <v>5818.98</v>
      </c>
      <c r="G15" s="21" t="n">
        <f aca="false">IFERROR((D15-C15)/C15,0)</f>
        <v>0.0948431161627288</v>
      </c>
      <c r="H15" s="21" t="n">
        <f aca="false">IFERROR((F15-E15)/E15,0)</f>
        <v>0.0828870138715716</v>
      </c>
      <c r="I15" s="21" t="n">
        <f aca="false">$D$9</f>
        <v>0.175129817392113</v>
      </c>
      <c r="J15" s="8" t="n">
        <f aca="false">C15*I15</f>
        <v>135.128415801581</v>
      </c>
      <c r="K15" s="8" t="n">
        <f aca="false">C15*(H15-I15)</f>
        <v>-71.1736247684148</v>
      </c>
      <c r="L15" s="8" t="n">
        <f aca="false">C15*(G15-I15)</f>
        <v>-61.9484158015807</v>
      </c>
      <c r="M15" s="8" t="n">
        <f aca="false">J15+K15+L15</f>
        <v>2.00637523158519</v>
      </c>
      <c r="N15" s="8" t="n">
        <f aca="false">C15*(G15-H15)</f>
        <v>9.22520896683402</v>
      </c>
      <c r="O15" s="8" t="n">
        <f aca="false">J15+K15+N15</f>
        <v>73.18</v>
      </c>
      <c r="P15" s="8" t="n">
        <f aca="false">D15-C15</f>
        <v>73.18</v>
      </c>
      <c r="Q15" s="8" t="n">
        <f aca="false">O15-P15</f>
        <v>0</v>
      </c>
    </row>
    <row r="16" customFormat="false" ht="15" hidden="false" customHeight="false" outlineLevel="0" collapsed="false">
      <c r="A16" s="7" t="str">
        <f aca="false">PDRB!A9</f>
        <v>E</v>
      </c>
      <c r="B16" s="7" t="str">
        <f aca="false">PDRB!B9</f>
        <v>Pengadaan Air, Pengelolaan Sampah, Limbah dan Daur Ulang</v>
      </c>
      <c r="C16" s="8" t="n">
        <f aca="false">INDEX(PDRB!$I9:$N9,MATCH($D$5,PDRB!$I$4:$N$4,0))</f>
        <v>32.73</v>
      </c>
      <c r="D16" s="8" t="n">
        <f aca="false">INDEX(PDRB!$I9:$N9,MATCH($D$6,PDRB!$I$4:$N$4,0))</f>
        <v>51.13</v>
      </c>
      <c r="E16" s="8" t="n">
        <f aca="false">INDEX(PDRB!$C9:$H9,MATCH($D$5,PDRB!$C$4:$H$4,0))</f>
        <v>1168.93</v>
      </c>
      <c r="F16" s="8" t="n">
        <f aca="false">INDEX(PDRB!$C9:$H9,MATCH($D$6,PDRB!$C$4:$H$4,0))</f>
        <v>1577.05</v>
      </c>
      <c r="G16" s="21" t="n">
        <f aca="false">IFERROR((D16-C16)/C16,0)</f>
        <v>0.562175374274366</v>
      </c>
      <c r="H16" s="21" t="n">
        <f aca="false">IFERROR((F16-E16)/E16,0)</f>
        <v>0.349139811622595</v>
      </c>
      <c r="I16" s="21" t="n">
        <f aca="false">$D$9</f>
        <v>0.175129817392113</v>
      </c>
      <c r="J16" s="8" t="n">
        <f aca="false">C16*I16</f>
        <v>5.73199892324387</v>
      </c>
      <c r="K16" s="8" t="n">
        <f aca="false">C16*(H16-I16)</f>
        <v>5.69534711116366</v>
      </c>
      <c r="L16" s="8" t="n">
        <f aca="false">C16*(G16-I16)</f>
        <v>12.6680010767561</v>
      </c>
      <c r="M16" s="8" t="n">
        <f aca="false">J16+K16+L16</f>
        <v>24.0953471111637</v>
      </c>
      <c r="N16" s="8" t="n">
        <f aca="false">C16*(G16-H16)</f>
        <v>6.97265396559248</v>
      </c>
      <c r="O16" s="8" t="n">
        <f aca="false">J16+K16+N16</f>
        <v>18.4</v>
      </c>
      <c r="P16" s="8" t="n">
        <f aca="false">D16-C16</f>
        <v>18.4</v>
      </c>
      <c r="Q16" s="8" t="n">
        <f aca="false">O16-P16</f>
        <v>0</v>
      </c>
    </row>
    <row r="17" customFormat="false" ht="15" hidden="false" customHeight="false" outlineLevel="0" collapsed="false">
      <c r="A17" s="7" t="str">
        <f aca="false">PDRB!A10</f>
        <v>F</v>
      </c>
      <c r="B17" s="7" t="str">
        <f aca="false">PDRB!B10</f>
        <v>Konstruksi</v>
      </c>
      <c r="C17" s="8" t="n">
        <f aca="false">INDEX(PDRB!$I10:$N10,MATCH($D$5,PDRB!$I$4:$N$4,0))</f>
        <v>3829.21</v>
      </c>
      <c r="D17" s="8" t="n">
        <f aca="false">INDEX(PDRB!$I10:$N10,MATCH($D$6,PDRB!$I$4:$N$4,0))</f>
        <v>4142.49</v>
      </c>
      <c r="E17" s="8" t="n">
        <f aca="false">INDEX(PDRB!$C10:$H10,MATCH($D$5,PDRB!$C$4:$H$4,0))</f>
        <v>126612.45</v>
      </c>
      <c r="F17" s="8" t="n">
        <f aca="false">INDEX(PDRB!$C10:$H10,MATCH($D$6,PDRB!$C$4:$H$4,0))</f>
        <v>143014.89</v>
      </c>
      <c r="G17" s="21" t="n">
        <f aca="false">IFERROR((D17-C17)/C17,0)</f>
        <v>0.0818132199592082</v>
      </c>
      <c r="H17" s="21" t="n">
        <f aca="false">IFERROR((F17-E17)/E17,0)</f>
        <v>0.129548397491716</v>
      </c>
      <c r="I17" s="21" t="n">
        <f aca="false">$D$9</f>
        <v>0.175129817392113</v>
      </c>
      <c r="J17" s="8" t="n">
        <f aca="false">C17*I17</f>
        <v>670.608848056054</v>
      </c>
      <c r="K17" s="8" t="n">
        <f aca="false">C17*(H17-I17)</f>
        <v>-174.5408288968</v>
      </c>
      <c r="L17" s="8" t="n">
        <f aca="false">C17*(G17-I17)</f>
        <v>-357.328848056054</v>
      </c>
      <c r="M17" s="8" t="n">
        <f aca="false">J17+K17+L17</f>
        <v>138.7391711032</v>
      </c>
      <c r="N17" s="8" t="n">
        <f aca="false">C17*(G17-H17)</f>
        <v>-182.788019159254</v>
      </c>
      <c r="O17" s="8" t="n">
        <f aca="false">J17+K17+N17</f>
        <v>313.28</v>
      </c>
      <c r="P17" s="8" t="n">
        <f aca="false">D17-C17</f>
        <v>313.28</v>
      </c>
      <c r="Q17" s="8" t="n">
        <f aca="false">O17-P17</f>
        <v>0</v>
      </c>
    </row>
    <row r="18" customFormat="false" ht="15" hidden="false" customHeight="false" outlineLevel="0" collapsed="false">
      <c r="A18" s="7" t="str">
        <f aca="false">PDRB!A11</f>
        <v>G</v>
      </c>
      <c r="B18" s="7" t="str">
        <f aca="false">PDRB!B11</f>
        <v>Perdagangan Besar dan Eceran</v>
      </c>
      <c r="C18" s="8" t="n">
        <f aca="false">INDEX(PDRB!$I11:$N11,MATCH($D$5,PDRB!$I$4:$N$4,0))</f>
        <v>6744.72</v>
      </c>
      <c r="D18" s="8" t="n">
        <f aca="false">INDEX(PDRB!$I11:$N11,MATCH($D$6,PDRB!$I$4:$N$4,0))</f>
        <v>7191.2</v>
      </c>
      <c r="E18" s="8" t="n">
        <f aca="false">INDEX(PDRB!$C11:$H11,MATCH($D$5,PDRB!$C$4:$H$4,0))</f>
        <v>232878.84</v>
      </c>
      <c r="F18" s="8" t="n">
        <f aca="false">INDEX(PDRB!$C11:$H11,MATCH($D$6,PDRB!$C$4:$H$4,0))</f>
        <v>252244.61</v>
      </c>
      <c r="G18" s="21" t="n">
        <f aca="false">IFERROR((D18-C18)/C18,0)</f>
        <v>0.0661969659229738</v>
      </c>
      <c r="H18" s="21" t="n">
        <f aca="false">IFERROR((F18-E18)/E18,0)</f>
        <v>0.0831581349340283</v>
      </c>
      <c r="I18" s="21" t="n">
        <f aca="false">$D$9</f>
        <v>0.175129817392113</v>
      </c>
      <c r="J18" s="8" t="n">
        <f aca="false">C18*I18</f>
        <v>1181.20158196093</v>
      </c>
      <c r="K18" s="8" t="n">
        <f aca="false">C18*(H18-I18)</f>
        <v>-620.323246108695</v>
      </c>
      <c r="L18" s="8" t="n">
        <f aca="false">C18*(G18-I18)</f>
        <v>-734.721581960935</v>
      </c>
      <c r="M18" s="8" t="n">
        <f aca="false">J18+K18+L18</f>
        <v>-173.843246108695</v>
      </c>
      <c r="N18" s="8" t="n">
        <f aca="false">C18*(G18-H18)</f>
        <v>-114.39833585224</v>
      </c>
      <c r="O18" s="8" t="n">
        <f aca="false">J18+K18+N18</f>
        <v>446.48</v>
      </c>
      <c r="P18" s="8" t="n">
        <f aca="false">D18-C18</f>
        <v>446.48</v>
      </c>
      <c r="Q18" s="8" t="n">
        <f aca="false">O18-P18</f>
        <v>0</v>
      </c>
    </row>
    <row r="19" customFormat="false" ht="15" hidden="false" customHeight="false" outlineLevel="0" collapsed="false">
      <c r="A19" s="7" t="str">
        <f aca="false">PDRB!A12</f>
        <v>H</v>
      </c>
      <c r="B19" s="7" t="str">
        <f aca="false">PDRB!B12</f>
        <v>Transportasi dan Pergudangan</v>
      </c>
      <c r="C19" s="8" t="n">
        <f aca="false">INDEX(PDRB!$I12:$N12,MATCH($D$5,PDRB!$I$4:$N$4,0))</f>
        <v>3933.69</v>
      </c>
      <c r="D19" s="8" t="n">
        <f aca="false">INDEX(PDRB!$I12:$N12,MATCH($D$6,PDRB!$I$4:$N$4,0))</f>
        <v>5322.75</v>
      </c>
      <c r="E19" s="8" t="n">
        <f aca="false">INDEX(PDRB!$C12:$H12,MATCH($D$5,PDRB!$C$4:$H$4,0))</f>
        <v>71064.36</v>
      </c>
      <c r="F19" s="8" t="n">
        <f aca="false">INDEX(PDRB!$C12:$H12,MATCH($D$6,PDRB!$C$4:$H$4,0))</f>
        <v>94113.89</v>
      </c>
      <c r="G19" s="21" t="n">
        <f aca="false">IFERROR((D19-C19)/C19,0)</f>
        <v>0.35311882736057</v>
      </c>
      <c r="H19" s="21" t="n">
        <f aca="false">IFERROR((F19-E19)/E19,0)</f>
        <v>0.324347253672586</v>
      </c>
      <c r="I19" s="21" t="n">
        <f aca="false">$D$9</f>
        <v>0.175129817392113</v>
      </c>
      <c r="J19" s="8" t="n">
        <f aca="false">C19*I19</f>
        <v>688.906411377182</v>
      </c>
      <c r="K19" s="8" t="n">
        <f aca="false">C19*(H19-I19)</f>
        <v>586.975136922134</v>
      </c>
      <c r="L19" s="8" t="n">
        <f aca="false">C19*(G19-I19)</f>
        <v>700.153588622818</v>
      </c>
      <c r="M19" s="8" t="n">
        <f aca="false">J19+K19+L19</f>
        <v>1976.03513692213</v>
      </c>
      <c r="N19" s="8" t="n">
        <f aca="false">C19*(G19-H19)</f>
        <v>113.178451700684</v>
      </c>
      <c r="O19" s="8" t="n">
        <f aca="false">J19+K19+N19</f>
        <v>1389.06</v>
      </c>
      <c r="P19" s="8" t="n">
        <f aca="false">D19-C19</f>
        <v>1389.06</v>
      </c>
      <c r="Q19" s="8" t="n">
        <f aca="false">O19-P19</f>
        <v>0</v>
      </c>
    </row>
    <row r="20" customFormat="false" ht="15" hidden="false" customHeight="false" outlineLevel="0" collapsed="false">
      <c r="A20" s="7" t="str">
        <f aca="false">PDRB!A13</f>
        <v>I</v>
      </c>
      <c r="B20" s="7" t="str">
        <f aca="false">PDRB!B13</f>
        <v>Penyediaan Akomodasi dan Makan Minum</v>
      </c>
      <c r="C20" s="8" t="n">
        <f aca="false">INDEX(PDRB!$I13:$N13,MATCH($D$5,PDRB!$I$4:$N$4,0))</f>
        <v>1503.11</v>
      </c>
      <c r="D20" s="8" t="n">
        <f aca="false">INDEX(PDRB!$I13:$N13,MATCH($D$6,PDRB!$I$4:$N$4,0))</f>
        <v>1960.93</v>
      </c>
      <c r="E20" s="8" t="n">
        <f aca="false">INDEX(PDRB!$C13:$H13,MATCH($D$5,PDRB!$C$4:$H$4,0))</f>
        <v>40928.32</v>
      </c>
      <c r="F20" s="8" t="n">
        <f aca="false">INDEX(PDRB!$C13:$H13,MATCH($D$6,PDRB!$C$4:$H$4,0))</f>
        <v>49724.89</v>
      </c>
      <c r="G20" s="21" t="n">
        <f aca="false">IFERROR((D20-C20)/C20,0)</f>
        <v>0.304581833664868</v>
      </c>
      <c r="H20" s="21" t="n">
        <f aca="false">IFERROR((F20-E20)/E20,0)</f>
        <v>0.214926241780752</v>
      </c>
      <c r="I20" s="21" t="n">
        <f aca="false">$D$9</f>
        <v>0.175129817392113</v>
      </c>
      <c r="J20" s="8" t="n">
        <f aca="false">C20*I20</f>
        <v>263.239379820259</v>
      </c>
      <c r="K20" s="8" t="n">
        <f aca="false">C20*(H20-I20)</f>
        <v>59.8184034628072</v>
      </c>
      <c r="L20" s="8" t="n">
        <f aca="false">C20*(G20-I20)</f>
        <v>194.580620179741</v>
      </c>
      <c r="M20" s="8" t="n">
        <f aca="false">J20+K20+L20</f>
        <v>517.638403462807</v>
      </c>
      <c r="N20" s="8" t="n">
        <f aca="false">C20*(G20-H20)</f>
        <v>134.762216716934</v>
      </c>
      <c r="O20" s="8" t="n">
        <f aca="false">J20+K20+N20</f>
        <v>457.82</v>
      </c>
      <c r="P20" s="8" t="n">
        <f aca="false">D20-C20</f>
        <v>457.82</v>
      </c>
      <c r="Q20" s="8" t="n">
        <f aca="false">O20-P20</f>
        <v>0</v>
      </c>
    </row>
    <row r="21" customFormat="false" ht="15" hidden="false" customHeight="false" outlineLevel="0" collapsed="false">
      <c r="A21" s="7" t="str">
        <f aca="false">PDRB!A14</f>
        <v>J</v>
      </c>
      <c r="B21" s="7" t="str">
        <f aca="false">PDRB!B14</f>
        <v>Informasi dan Komunikasi</v>
      </c>
      <c r="C21" s="8" t="n">
        <f aca="false">INDEX(PDRB!$I14:$N14,MATCH($D$5,PDRB!$I$4:$N$4,0))</f>
        <v>2253.82</v>
      </c>
      <c r="D21" s="8" t="n">
        <f aca="false">INDEX(PDRB!$I14:$N14,MATCH($D$6,PDRB!$I$4:$N$4,0))</f>
        <v>3951.15</v>
      </c>
      <c r="E21" s="8" t="n">
        <f aca="false">INDEX(PDRB!$C14:$H14,MATCH($D$5,PDRB!$C$4:$H$4,0))</f>
        <v>63861.23</v>
      </c>
      <c r="F21" s="8" t="n">
        <f aca="false">INDEX(PDRB!$C14:$H14,MATCH($D$6,PDRB!$C$4:$H$4,0))</f>
        <v>113765.59</v>
      </c>
      <c r="G21" s="21" t="n">
        <f aca="false">IFERROR((D21-C21)/C21,0)</f>
        <v>0.753090308897782</v>
      </c>
      <c r="H21" s="21" t="n">
        <f aca="false">IFERROR((F21-E21)/E21,0)</f>
        <v>0.781450028444488</v>
      </c>
      <c r="I21" s="21" t="n">
        <f aca="false">$D$9</f>
        <v>0.175129817392113</v>
      </c>
      <c r="J21" s="8" t="n">
        <f aca="false">C21*I21</f>
        <v>394.711085034693</v>
      </c>
      <c r="K21" s="8" t="n">
        <f aca="false">C21*(H21-I21)</f>
        <v>1366.53661807406</v>
      </c>
      <c r="L21" s="8" t="n">
        <f aca="false">C21*(G21-I21)</f>
        <v>1302.61891496531</v>
      </c>
      <c r="M21" s="8" t="n">
        <f aca="false">J21+K21+L21</f>
        <v>3063.86661807406</v>
      </c>
      <c r="N21" s="8" t="n">
        <f aca="false">C21*(G21-H21)</f>
        <v>-63.917703108756</v>
      </c>
      <c r="O21" s="8" t="n">
        <f aca="false">J21+K21+N21</f>
        <v>1697.33</v>
      </c>
      <c r="P21" s="8" t="n">
        <f aca="false">D21-C21</f>
        <v>1697.33</v>
      </c>
      <c r="Q21" s="8" t="n">
        <f aca="false">O21-P21</f>
        <v>0</v>
      </c>
    </row>
    <row r="22" customFormat="false" ht="15" hidden="false" customHeight="false" outlineLevel="0" collapsed="false">
      <c r="A22" s="7" t="str">
        <f aca="false">PDRB!A15</f>
        <v>K</v>
      </c>
      <c r="B22" s="7" t="str">
        <f aca="false">PDRB!B15</f>
        <v>Jasa Keuangan dan Asuransi</v>
      </c>
      <c r="C22" s="8" t="n">
        <f aca="false">INDEX(PDRB!$I15:$N15,MATCH($D$5,PDRB!$I$4:$N$4,0))</f>
        <v>2187.59</v>
      </c>
      <c r="D22" s="8" t="n">
        <f aca="false">INDEX(PDRB!$I15:$N15,MATCH($D$6,PDRB!$I$4:$N$4,0))</f>
        <v>2327.49</v>
      </c>
      <c r="E22" s="8" t="n">
        <f aca="false">INDEX(PDRB!$C15:$H15,MATCH($D$5,PDRB!$C$4:$H$4,0))</f>
        <v>36498.69</v>
      </c>
      <c r="F22" s="8" t="n">
        <f aca="false">INDEX(PDRB!$C15:$H15,MATCH($D$6,PDRB!$C$4:$H$4,0))</f>
        <v>41870.17</v>
      </c>
      <c r="G22" s="21" t="n">
        <f aca="false">IFERROR((D22-C22)/C22,0)</f>
        <v>0.0639516545604979</v>
      </c>
      <c r="H22" s="21" t="n">
        <f aca="false">IFERROR((F22-E22)/E22,0)</f>
        <v>0.147169117576549</v>
      </c>
      <c r="I22" s="21" t="n">
        <f aca="false">$D$9</f>
        <v>0.175129817392113</v>
      </c>
      <c r="J22" s="8" t="n">
        <f aca="false">C22*I22</f>
        <v>383.112237228813</v>
      </c>
      <c r="K22" s="8" t="n">
        <f aca="false">C22*(H22-I22)</f>
        <v>-61.1665473095313</v>
      </c>
      <c r="L22" s="8" t="n">
        <f aca="false">C22*(G22-I22)</f>
        <v>-243.212237228813</v>
      </c>
      <c r="M22" s="8" t="n">
        <f aca="false">J22+K22+L22</f>
        <v>78.7334526904683</v>
      </c>
      <c r="N22" s="8" t="n">
        <f aca="false">C22*(G22-H22)</f>
        <v>-182.045689919282</v>
      </c>
      <c r="O22" s="8" t="n">
        <f aca="false">J22+K22+N22</f>
        <v>139.9</v>
      </c>
      <c r="P22" s="8" t="n">
        <f aca="false">D22-C22</f>
        <v>139.9</v>
      </c>
      <c r="Q22" s="8" t="n">
        <f aca="false">O22-P22</f>
        <v>0</v>
      </c>
    </row>
    <row r="23" customFormat="false" ht="15" hidden="false" customHeight="false" outlineLevel="0" collapsed="false">
      <c r="A23" s="7" t="str">
        <f aca="false">PDRB!A16</f>
        <v>L</v>
      </c>
      <c r="B23" s="7" t="str">
        <f aca="false">PDRB!B16</f>
        <v>Real Estate</v>
      </c>
      <c r="C23" s="8" t="n">
        <f aca="false">INDEX(PDRB!$I16:$N16,MATCH($D$5,PDRB!$I$4:$N$4,0))</f>
        <v>736.54</v>
      </c>
      <c r="D23" s="8" t="n">
        <f aca="false">INDEX(PDRB!$I16:$N16,MATCH($D$6,PDRB!$I$4:$N$4,0))</f>
        <v>957.85</v>
      </c>
      <c r="E23" s="8" t="n">
        <f aca="false">INDEX(PDRB!$C16:$H16,MATCH($D$5,PDRB!$C$4:$H$4,0))</f>
        <v>19344.12</v>
      </c>
      <c r="F23" s="8" t="n">
        <f aca="false">INDEX(PDRB!$C16:$H16,MATCH($D$6,PDRB!$C$4:$H$4,0))</f>
        <v>26046.99</v>
      </c>
      <c r="G23" s="21" t="n">
        <f aca="false">IFERROR((D23-C23)/C23,0)</f>
        <v>0.300472479430853</v>
      </c>
      <c r="H23" s="21" t="n">
        <f aca="false">IFERROR((F23-E23)/E23,0)</f>
        <v>0.346506845491033</v>
      </c>
      <c r="I23" s="21" t="n">
        <f aca="false">$D$9</f>
        <v>0.175129817392113</v>
      </c>
      <c r="J23" s="8" t="n">
        <f aca="false">C23*I23</f>
        <v>128.990115701987</v>
      </c>
      <c r="K23" s="8" t="n">
        <f aca="false">C23*(H23-I23)</f>
        <v>126.226036275978</v>
      </c>
      <c r="L23" s="8" t="n">
        <f aca="false">C23*(G23-I23)</f>
        <v>92.319884298013</v>
      </c>
      <c r="M23" s="8" t="n">
        <f aca="false">J23+K23+L23</f>
        <v>347.536036275979</v>
      </c>
      <c r="N23" s="8" t="n">
        <f aca="false">C23*(G23-H23)</f>
        <v>-33.9061519779654</v>
      </c>
      <c r="O23" s="8" t="n">
        <f aca="false">J23+K23+N23</f>
        <v>221.31</v>
      </c>
      <c r="P23" s="8" t="n">
        <f aca="false">D23-C23</f>
        <v>221.31</v>
      </c>
      <c r="Q23" s="8" t="n">
        <f aca="false">O23-P23</f>
        <v>0</v>
      </c>
    </row>
    <row r="24" customFormat="false" ht="15" hidden="false" customHeight="false" outlineLevel="0" collapsed="false">
      <c r="A24" s="7" t="str">
        <f aca="false">PDRB!A17</f>
        <v>M,N</v>
      </c>
      <c r="B24" s="7" t="str">
        <f aca="false">PDRB!B17</f>
        <v>Jasa Perusahaan</v>
      </c>
      <c r="C24" s="8" t="n">
        <f aca="false">INDEX(PDRB!$I17:$N17,MATCH($D$5,PDRB!$I$4:$N$4,0))</f>
        <v>691.04</v>
      </c>
      <c r="D24" s="8" t="n">
        <f aca="false">INDEX(PDRB!$I17:$N17,MATCH($D$6,PDRB!$I$4:$N$4,0))</f>
        <v>693.83</v>
      </c>
      <c r="E24" s="8" t="n">
        <f aca="false">INDEX(PDRB!$C17:$H17,MATCH($D$5,PDRB!$C$4:$H$4,0))</f>
        <v>6859.66</v>
      </c>
      <c r="F24" s="8" t="n">
        <f aca="false">INDEX(PDRB!$C17:$H17,MATCH($D$6,PDRB!$C$4:$H$4,0))</f>
        <v>7534.11</v>
      </c>
      <c r="G24" s="21" t="n">
        <f aca="false">IFERROR((D24-C24)/C24,0)</f>
        <v>0.00403739291502674</v>
      </c>
      <c r="H24" s="21" t="n">
        <f aca="false">IFERROR((F24-E24)/E24,0)</f>
        <v>0.0983211995929827</v>
      </c>
      <c r="I24" s="21" t="n">
        <f aca="false">$D$9</f>
        <v>0.175129817392113</v>
      </c>
      <c r="J24" s="8" t="n">
        <f aca="false">C24*I24</f>
        <v>121.021709010646</v>
      </c>
      <c r="K24" s="8" t="n">
        <f aca="false">C24*(H24-I24)</f>
        <v>-53.0778272439112</v>
      </c>
      <c r="L24" s="8" t="n">
        <f aca="false">C24*(G24-I24)</f>
        <v>-118.231709010646</v>
      </c>
      <c r="M24" s="8" t="n">
        <f aca="false">J24+K24+L24</f>
        <v>-50.2878272439111</v>
      </c>
      <c r="N24" s="8" t="n">
        <f aca="false">C24*(G24-H24)</f>
        <v>-65.1538817667347</v>
      </c>
      <c r="O24" s="8" t="n">
        <f aca="false">J24+K24+N24</f>
        <v>2.79000000000006</v>
      </c>
      <c r="P24" s="8" t="n">
        <f aca="false">D24-C24</f>
        <v>2.79000000000008</v>
      </c>
      <c r="Q24" s="8" t="n">
        <f aca="false">O24-P24</f>
        <v>-1.4210854715202E-014</v>
      </c>
    </row>
    <row r="25" customFormat="false" ht="15" hidden="false" customHeight="false" outlineLevel="0" collapsed="false">
      <c r="A25" s="7" t="str">
        <f aca="false">PDRB!A18</f>
        <v>O</v>
      </c>
      <c r="B25" s="7" t="str">
        <f aca="false">PDRB!B18</f>
        <v>Administrasi Pemerintahan, Pertahanan dan Jaminan Sosial Wajib</v>
      </c>
      <c r="C25" s="8" t="n">
        <f aca="false">INDEX(PDRB!$I18:$N18,MATCH($D$5,PDRB!$I$4:$N$4,0))</f>
        <v>726.85</v>
      </c>
      <c r="D25" s="8" t="n">
        <f aca="false">INDEX(PDRB!$I18:$N18,MATCH($D$6,PDRB!$I$4:$N$4,0))</f>
        <v>807.29</v>
      </c>
      <c r="E25" s="8" t="n">
        <f aca="false">INDEX(PDRB!$C18:$H18,MATCH($D$5,PDRB!$C$4:$H$4,0))</f>
        <v>28704.06</v>
      </c>
      <c r="F25" s="8" t="n">
        <f aca="false">INDEX(PDRB!$C18:$H18,MATCH($D$6,PDRB!$C$4:$H$4,0))</f>
        <v>28635.78</v>
      </c>
      <c r="G25" s="21" t="n">
        <f aca="false">IFERROR((D25-C25)/C25,0)</f>
        <v>0.110669326546055</v>
      </c>
      <c r="H25" s="21" t="n">
        <f aca="false">IFERROR((F25-E25)/E25,0)</f>
        <v>-0.00237875756948677</v>
      </c>
      <c r="I25" s="21" t="n">
        <f aca="false">$D$9</f>
        <v>0.175129817392113</v>
      </c>
      <c r="J25" s="8" t="n">
        <f aca="false">C25*I25</f>
        <v>127.293107771458</v>
      </c>
      <c r="K25" s="8" t="n">
        <f aca="false">C25*(H25-I25)</f>
        <v>-129.022107710839</v>
      </c>
      <c r="L25" s="8" t="n">
        <f aca="false">C25*(G25-I25)</f>
        <v>-46.8531077714576</v>
      </c>
      <c r="M25" s="8" t="n">
        <f aca="false">J25+K25+L25</f>
        <v>-48.5821077108391</v>
      </c>
      <c r="N25" s="8" t="n">
        <f aca="false">C25*(G25-H25)</f>
        <v>82.1689999393814</v>
      </c>
      <c r="O25" s="8" t="n">
        <f aca="false">J25+K25+N25</f>
        <v>80.4399999999999</v>
      </c>
      <c r="P25" s="8" t="n">
        <f aca="false">D25-C25</f>
        <v>80.4399999999999</v>
      </c>
      <c r="Q25" s="8" t="n">
        <f aca="false">O25-P25</f>
        <v>0</v>
      </c>
    </row>
    <row r="26" customFormat="false" ht="15" hidden="false" customHeight="false" outlineLevel="0" collapsed="false">
      <c r="A26" s="7" t="str">
        <f aca="false">PDRB!A19</f>
        <v>P</v>
      </c>
      <c r="B26" s="7" t="str">
        <f aca="false">PDRB!B19</f>
        <v>Jasa Pendidikan</v>
      </c>
      <c r="C26" s="8" t="n">
        <f aca="false">INDEX(PDRB!$I19:$N19,MATCH($D$5,PDRB!$I$4:$N$4,0))</f>
        <v>967.83</v>
      </c>
      <c r="D26" s="8" t="n">
        <f aca="false">INDEX(PDRB!$I19:$N19,MATCH($D$6,PDRB!$I$4:$N$4,0))</f>
        <v>1265.99</v>
      </c>
      <c r="E26" s="8" t="n">
        <f aca="false">INDEX(PDRB!$C19:$H19,MATCH($D$5,PDRB!$C$4:$H$4,0))</f>
        <v>42156.3</v>
      </c>
      <c r="F26" s="8" t="n">
        <f aca="false">INDEX(PDRB!$C19:$H19,MATCH($D$6,PDRB!$C$4:$H$4,0))</f>
        <v>51464.14</v>
      </c>
      <c r="G26" s="21" t="n">
        <f aca="false">IFERROR((D26-C26)/C26,0)</f>
        <v>0.308070632239133</v>
      </c>
      <c r="H26" s="21" t="n">
        <f aca="false">IFERROR((F26-E26)/E26,0)</f>
        <v>0.220793570593245</v>
      </c>
      <c r="I26" s="21" t="n">
        <f aca="false">$D$9</f>
        <v>0.175129817392113</v>
      </c>
      <c r="J26" s="8" t="n">
        <f aca="false">C26*I26</f>
        <v>169.495891166609</v>
      </c>
      <c r="K26" s="8" t="n">
        <f aca="false">C26*(H26-I26)</f>
        <v>44.1947502606509</v>
      </c>
      <c r="L26" s="8" t="n">
        <f aca="false">C26*(G26-I26)</f>
        <v>128.664108833391</v>
      </c>
      <c r="M26" s="8" t="n">
        <f aca="false">J26+K26+L26</f>
        <v>342.354750260651</v>
      </c>
      <c r="N26" s="8" t="n">
        <f aca="false">C26*(G26-H26)</f>
        <v>84.4693585727401</v>
      </c>
      <c r="O26" s="8" t="n">
        <f aca="false">J26+K26+N26</f>
        <v>298.16</v>
      </c>
      <c r="P26" s="8" t="n">
        <f aca="false">D26-C26</f>
        <v>298.16</v>
      </c>
      <c r="Q26" s="8" t="n">
        <f aca="false">O26-P26</f>
        <v>0</v>
      </c>
    </row>
    <row r="27" customFormat="false" ht="15" hidden="false" customHeight="false" outlineLevel="0" collapsed="false">
      <c r="A27" s="7" t="str">
        <f aca="false">PDRB!A20</f>
        <v>Q</v>
      </c>
      <c r="B27" s="7" t="str">
        <f aca="false">PDRB!B20</f>
        <v>Jasa Kesehatan dan Kegiatan Sosial</v>
      </c>
      <c r="C27" s="8" t="n">
        <f aca="false">INDEX(PDRB!$I20:$N20,MATCH($D$5,PDRB!$I$4:$N$4,0))</f>
        <v>479.73</v>
      </c>
      <c r="D27" s="8" t="n">
        <f aca="false">INDEX(PDRB!$I20:$N20,MATCH($D$6,PDRB!$I$4:$N$4,0))</f>
        <v>621.83</v>
      </c>
      <c r="E27" s="8" t="n">
        <f aca="false">INDEX(PDRB!$C20:$H20,MATCH($D$5,PDRB!$C$4:$H$4,0))</f>
        <v>12448.02</v>
      </c>
      <c r="F27" s="8" t="n">
        <f aca="false">INDEX(PDRB!$C20:$H20,MATCH($D$6,PDRB!$C$4:$H$4,0))</f>
        <v>15038.14</v>
      </c>
      <c r="G27" s="21" t="n">
        <f aca="false">IFERROR((D27-C27)/C27,0)</f>
        <v>0.296208283826319</v>
      </c>
      <c r="H27" s="21" t="n">
        <f aca="false">IFERROR((F27-E27)/E27,0)</f>
        <v>0.208074858491551</v>
      </c>
      <c r="I27" s="21" t="n">
        <f aca="false">$D$9</f>
        <v>0.175129817392113</v>
      </c>
      <c r="J27" s="8" t="n">
        <f aca="false">C27*I27</f>
        <v>84.0150272975185</v>
      </c>
      <c r="K27" s="8" t="n">
        <f aca="false">C27*(H27-I27)</f>
        <v>15.8047245666334</v>
      </c>
      <c r="L27" s="8" t="n">
        <f aca="false">C27*(G27-I27)</f>
        <v>58.0849727024815</v>
      </c>
      <c r="M27" s="8" t="n">
        <f aca="false">J27+K27+L27</f>
        <v>157.904724566633</v>
      </c>
      <c r="N27" s="8" t="n">
        <f aca="false">C27*(G27-H27)</f>
        <v>42.2802481358482</v>
      </c>
      <c r="O27" s="8" t="n">
        <f aca="false">J27+K27+N27</f>
        <v>142.1</v>
      </c>
      <c r="P27" s="8" t="n">
        <f aca="false">D27-C27</f>
        <v>142.1</v>
      </c>
      <c r="Q27" s="8" t="n">
        <f aca="false">O27-P27</f>
        <v>0</v>
      </c>
    </row>
    <row r="28" customFormat="false" ht="15" hidden="false" customHeight="false" outlineLevel="0" collapsed="false">
      <c r="A28" s="7" t="str">
        <f aca="false">PDRB!A21</f>
        <v>R,S,T, U</v>
      </c>
      <c r="B28" s="7" t="str">
        <f aca="false">PDRB!B21</f>
        <v>Jasa lainnya</v>
      </c>
      <c r="C28" s="8" t="n">
        <f aca="false">INDEX(PDRB!$I21:$N21,MATCH($D$5,PDRB!$I$4:$N$4,0))</f>
        <v>1131.8</v>
      </c>
      <c r="D28" s="8" t="n">
        <f aca="false">INDEX(PDRB!$I21:$N21,MATCH($D$6,PDRB!$I$4:$N$4,0))</f>
        <v>1514.21</v>
      </c>
      <c r="E28" s="8" t="n">
        <f aca="false">INDEX(PDRB!$C21:$H21,MATCH($D$5,PDRB!$C$4:$H$4,0))</f>
        <v>32912.01</v>
      </c>
      <c r="F28" s="8" t="n">
        <f aca="false">INDEX(PDRB!$C21:$H21,MATCH($D$6,PDRB!$C$4:$H$4,0))</f>
        <v>41286.15</v>
      </c>
      <c r="G28" s="21" t="n">
        <f aca="false">IFERROR((D28-C28)/C28,0)</f>
        <v>0.337877716911115</v>
      </c>
      <c r="H28" s="21" t="n">
        <f aca="false">IFERROR((F28-E28)/E28,0)</f>
        <v>0.2544402484078</v>
      </c>
      <c r="I28" s="21" t="n">
        <f aca="false">$D$9</f>
        <v>0.175129817392113</v>
      </c>
      <c r="J28" s="8" t="n">
        <f aca="false">C28*I28</f>
        <v>198.211927324394</v>
      </c>
      <c r="K28" s="8" t="n">
        <f aca="false">C28*(H28-I28)</f>
        <v>89.7635458235543</v>
      </c>
      <c r="L28" s="8" t="n">
        <f aca="false">C28*(G28-I28)</f>
        <v>184.198072675606</v>
      </c>
      <c r="M28" s="8" t="n">
        <f aca="false">J28+K28+L28</f>
        <v>472.173545823554</v>
      </c>
      <c r="N28" s="8" t="n">
        <f aca="false">C28*(G28-H28)</f>
        <v>94.434526852052</v>
      </c>
      <c r="O28" s="8" t="n">
        <f aca="false">J28+K28+N28</f>
        <v>382.41</v>
      </c>
      <c r="P28" s="8" t="n">
        <f aca="false">D28-C28</f>
        <v>382.41</v>
      </c>
      <c r="Q28" s="8" t="n">
        <f aca="false">O28-P28</f>
        <v>0</v>
      </c>
    </row>
    <row r="29" customFormat="false" ht="15" hidden="false" customHeight="false" outlineLevel="0" collapsed="false">
      <c r="B29" s="10" t="s">
        <v>81</v>
      </c>
      <c r="C29" s="11" t="n">
        <f aca="false">SUM(C12:C28)</f>
        <v>32295.74</v>
      </c>
      <c r="D29" s="11" t="n">
        <f aca="false">SUM(D12:D28)</f>
        <v>38964.67</v>
      </c>
      <c r="J29" s="11" t="n">
        <f aca="false">SUM(J12:J28)</f>
        <v>5655.94704874317</v>
      </c>
      <c r="K29" s="11" t="n">
        <f aca="false">SUM(K12:K28)</f>
        <v>1054.81732149374</v>
      </c>
      <c r="L29" s="11" t="n">
        <f aca="false">SUM(L12:L28)</f>
        <v>1012.98295125683</v>
      </c>
      <c r="M29" s="11" t="n">
        <f aca="false">SUM(M12:M28)</f>
        <v>7723.74732149374</v>
      </c>
      <c r="N29" s="11" t="n">
        <f aca="false">SUM(N12:N28)</f>
        <v>-41.8343702369142</v>
      </c>
      <c r="O29" s="11" t="n">
        <f aca="false">SUM(O12:O28)</f>
        <v>6668.93</v>
      </c>
      <c r="P29" s="11" t="n">
        <f aca="false">SUM(P12:P28)</f>
        <v>6668.93</v>
      </c>
      <c r="Q29" s="11" t="n">
        <f aca="false">SUM(Q12:Q28)</f>
        <v>-1.4210854715202E-014</v>
      </c>
    </row>
    <row r="31" customFormat="false" ht="15" hidden="false" customHeight="false" outlineLevel="0" collapsed="false">
      <c r="A31" s="3" t="s">
        <v>82</v>
      </c>
    </row>
    <row r="32" customFormat="false" ht="15" hidden="false" customHeight="false" outlineLevel="0" collapsed="false">
      <c r="A32" s="4" t="s">
        <v>83</v>
      </c>
    </row>
    <row r="33" customFormat="false" ht="15" hidden="false" customHeight="false" outlineLevel="0" collapsed="false">
      <c r="A33" s="4" t="s">
        <v>84</v>
      </c>
    </row>
    <row r="34" customFormat="false" ht="15" hidden="false" customHeight="false" outlineLevel="0" collapsed="false">
      <c r="A34" s="4" t="s">
        <v>85</v>
      </c>
    </row>
    <row r="35" customFormat="false" ht="15" hidden="false" customHeight="false" outlineLevel="0" collapsed="false">
      <c r="A35" s="4" t="s">
        <v>86</v>
      </c>
    </row>
    <row r="36" customFormat="false" ht="15" hidden="false" customHeight="false" outlineLevel="0" collapsed="false">
      <c r="A36" s="4" t="s">
        <v>87</v>
      </c>
    </row>
    <row r="37" customFormat="false" ht="15" hidden="false" customHeight="false" outlineLevel="0" collapsed="false">
      <c r="A37" s="4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16"/>
    <col collapsed="false" customWidth="true" hidden="false" outlineLevel="0" max="10" min="10" style="0" width="13"/>
  </cols>
  <sheetData>
    <row r="1" customFormat="false" ht="21.75" hidden="false" customHeight="true" outlineLevel="0" collapsed="false">
      <c r="A1" s="1" t="s">
        <v>89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90</v>
      </c>
    </row>
    <row r="3" customFormat="false" ht="15" hidden="false" customHeight="false" outlineLevel="0" collapsed="false">
      <c r="A3" s="4" t="s">
        <v>91</v>
      </c>
    </row>
    <row r="5" customFormat="false" ht="31.5" hidden="false" customHeight="true" outlineLevel="0" collapsed="false">
      <c r="A5" s="12" t="s">
        <v>5</v>
      </c>
      <c r="B5" s="12" t="s">
        <v>6</v>
      </c>
      <c r="C5" s="12" t="s">
        <v>92</v>
      </c>
      <c r="D5" s="12" t="s">
        <v>93</v>
      </c>
      <c r="E5" s="12" t="s">
        <v>94</v>
      </c>
      <c r="F5" s="12" t="s">
        <v>95</v>
      </c>
      <c r="G5" s="12" t="s">
        <v>96</v>
      </c>
      <c r="H5" s="12" t="s">
        <v>97</v>
      </c>
      <c r="I5" s="12" t="s">
        <v>98</v>
      </c>
      <c r="J5" s="12" t="s">
        <v>99</v>
      </c>
    </row>
    <row r="6" customFormat="false" ht="15" hidden="false" customHeight="false" outlineLevel="0" collapsed="false">
      <c r="A6" s="7" t="str">
        <f aca="false">PDRB!A5</f>
        <v>A</v>
      </c>
      <c r="B6" s="7" t="str">
        <f aca="false">PDRB!B5</f>
        <v>Pertanian, Kehutanan, dan Perikanan</v>
      </c>
      <c r="C6" s="13" t="n">
        <f aca="false">LQ!I7</f>
        <v>0.107086925453634</v>
      </c>
      <c r="D6" s="22" t="str">
        <f aca="false">IF(C6&gt;=1,"LQ ≥ 1 (basis)","LQ &lt; 1 (non-basis)")</f>
        <v>LQ &lt; 1 (non-basis)</v>
      </c>
      <c r="E6" s="8" t="n">
        <f aca="false">SSA!L12</f>
        <v>-2.530876316107</v>
      </c>
      <c r="F6" s="22" t="str">
        <f aca="false">IF(E6&gt;0,"SSA (+)","SSA (−)")</f>
        <v>SSA (−)</v>
      </c>
      <c r="G6" s="23" t="str">
        <f aca="false">IF(AND(C6&gt;=1,E6&gt;0),"Kuadran I",IF(AND(C6&lt;1,E6&gt;0),"Kuadran II",IF(AND(C6&gt;=1,E6&lt;=0),"Kuadran III","Kuadran IV")))</f>
        <v>Kuadran IV</v>
      </c>
      <c r="H6" s="24" t="str">
        <f aca="false">IF(G6="Kuadran I","Maju dan tumbuh cepat",IF(G6="Kuadran II","Potensial / berkembang cepat",IF(G6="Kuadran III","Maju tapi tertekan","Relatif tertinggal")))</f>
        <v>Relatif tertinggal</v>
      </c>
      <c r="I6" s="16" t="str">
        <f aca="false">IF(AND(C6&gt;=1,J6&gt;0),"Kuadran I",IF(AND(C6&lt;1,J6&gt;0),"Kuadran II",IF(AND(C6&gt;=1,J6&lt;=0),"Kuadran III","Kuadran IV")))</f>
        <v>Kuadran II</v>
      </c>
      <c r="J6" s="8" t="n">
        <f aca="false">SSA!N12</f>
        <v>15.3721774299871</v>
      </c>
    </row>
    <row r="7" customFormat="false" ht="15" hidden="false" customHeight="false" outlineLevel="0" collapsed="false">
      <c r="A7" s="7" t="str">
        <f aca="false">PDRB!A6</f>
        <v>B</v>
      </c>
      <c r="B7" s="7" t="str">
        <f aca="false">PDRB!B6</f>
        <v>Pertambangan dan Penggalian</v>
      </c>
      <c r="C7" s="13" t="n">
        <f aca="false">LQ!I8</f>
        <v>0</v>
      </c>
      <c r="D7" s="22" t="str">
        <f aca="false">IF(C7&gt;=1,"LQ ≥ 1 (basis)","LQ &lt; 1 (non-basis)")</f>
        <v>LQ &lt; 1 (non-basis)</v>
      </c>
      <c r="E7" s="8" t="n">
        <f aca="false">SSA!L13</f>
        <v>-0</v>
      </c>
      <c r="F7" s="22" t="str">
        <f aca="false">IF(E7&gt;0,"SSA (+)","SSA (−)")</f>
        <v>SSA (−)</v>
      </c>
      <c r="G7" s="23" t="str">
        <f aca="false">IF(AND(C7&gt;=1,E7&gt;0),"Kuadran I",IF(AND(C7&lt;1,E7&gt;0),"Kuadran II",IF(AND(C7&gt;=1,E7&lt;=0),"Kuadran III","Kuadran IV")))</f>
        <v>Kuadran IV</v>
      </c>
      <c r="H7" s="24" t="str">
        <f aca="false">IF(G7="Kuadran I","Maju dan tumbuh cepat",IF(G7="Kuadran II","Potensial / berkembang cepat",IF(G7="Kuadran III","Maju tapi tertekan","Relatif tertinggal")))</f>
        <v>Relatif tertinggal</v>
      </c>
      <c r="I7" s="16" t="str">
        <f aca="false">IF(AND(C7&gt;=1,J7&gt;0),"Kuadran I",IF(AND(C7&lt;1,J7&gt;0),"Kuadran II",IF(AND(C7&gt;=1,J7&lt;=0),"Kuadran III","Kuadran IV")))</f>
        <v>Kuadran IV</v>
      </c>
      <c r="J7" s="8" t="n">
        <f aca="false">SSA!N13</f>
        <v>0</v>
      </c>
    </row>
    <row r="8" customFormat="false" ht="15" hidden="false" customHeight="false" outlineLevel="0" collapsed="false">
      <c r="A8" s="7" t="str">
        <f aca="false">PDRB!A7</f>
        <v>C</v>
      </c>
      <c r="B8" s="7" t="str">
        <f aca="false">PDRB!B7</f>
        <v>Industri Pengolahan</v>
      </c>
      <c r="C8" s="13" t="n">
        <f aca="false">LQ!I9</f>
        <v>0.436593113582563</v>
      </c>
      <c r="D8" s="22" t="str">
        <f aca="false">IF(C8&gt;=1,"LQ ≥ 1 (basis)","LQ &lt; 1 (non-basis)")</f>
        <v>LQ &lt; 1 (non-basis)</v>
      </c>
      <c r="E8" s="8" t="n">
        <f aca="false">SSA!L14</f>
        <v>-95.47843595169</v>
      </c>
      <c r="F8" s="22" t="str">
        <f aca="false">IF(E8&gt;0,"SSA (+)","SSA (−)")</f>
        <v>SSA (−)</v>
      </c>
      <c r="G8" s="23" t="str">
        <f aca="false">IF(AND(C8&gt;=1,E8&gt;0),"Kuadran I",IF(AND(C8&lt;1,E8&gt;0),"Kuadran II",IF(AND(C8&gt;=1,E8&lt;=0),"Kuadran III","Kuadran IV")))</f>
        <v>Kuadran IV</v>
      </c>
      <c r="H8" s="24" t="str">
        <f aca="false">IF(G8="Kuadran I","Maju dan tumbuh cepat",IF(G8="Kuadran II","Potensial / berkembang cepat",IF(G8="Kuadran III","Maju tapi tertekan","Relatif tertinggal")))</f>
        <v>Relatif tertinggal</v>
      </c>
      <c r="I8" s="16" t="str">
        <f aca="false">IF(AND(C8&gt;=1,J8&gt;0),"Kuadran I",IF(AND(C8&lt;1,J8&gt;0),"Kuadran II",IF(AND(C8&gt;=1,J8&lt;=0),"Kuadran III","Kuadran IV")))</f>
        <v>Kuadran II</v>
      </c>
      <c r="J8" s="8" t="n">
        <f aca="false">SSA!N14</f>
        <v>17.5115692672657</v>
      </c>
    </row>
    <row r="9" customFormat="false" ht="15" hidden="false" customHeight="false" outlineLevel="0" collapsed="false">
      <c r="A9" s="7" t="str">
        <f aca="false">PDRB!A8</f>
        <v>D</v>
      </c>
      <c r="B9" s="7" t="str">
        <f aca="false">PDRB!B8</f>
        <v>Pengadaan Listrik dan Gas</v>
      </c>
      <c r="C9" s="13" t="n">
        <f aca="false">LQ!I10</f>
        <v>6.66188942707197</v>
      </c>
      <c r="D9" s="22" t="str">
        <f aca="false">IF(C9&gt;=1,"LQ ≥ 1 (basis)","LQ &lt; 1 (non-basis)")</f>
        <v>LQ ≥ 1 (basis)</v>
      </c>
      <c r="E9" s="8" t="n">
        <f aca="false">SSA!L15</f>
        <v>-61.9484158015807</v>
      </c>
      <c r="F9" s="22" t="str">
        <f aca="false">IF(E9&gt;0,"SSA (+)","SSA (−)")</f>
        <v>SSA (−)</v>
      </c>
      <c r="G9" s="23" t="str">
        <f aca="false">IF(AND(C9&gt;=1,E9&gt;0),"Kuadran I",IF(AND(C9&lt;1,E9&gt;0),"Kuadran II",IF(AND(C9&gt;=1,E9&lt;=0),"Kuadran III","Kuadran IV")))</f>
        <v>Kuadran III</v>
      </c>
      <c r="H9" s="24" t="str">
        <f aca="false">IF(G9="Kuadran I","Maju dan tumbuh cepat",IF(G9="Kuadran II","Potensial / berkembang cepat",IF(G9="Kuadran III","Maju tapi tertekan","Relatif tertinggal")))</f>
        <v>Maju tapi tertekan</v>
      </c>
      <c r="I9" s="16" t="str">
        <f aca="false">IF(AND(C9&gt;=1,J9&gt;0),"Kuadran I",IF(AND(C9&lt;1,J9&gt;0),"Kuadran II",IF(AND(C9&gt;=1,J9&lt;=0),"Kuadran III","Kuadran IV")))</f>
        <v>Kuadran I</v>
      </c>
      <c r="J9" s="8" t="n">
        <f aca="false">SSA!N15</f>
        <v>9.22520896683402</v>
      </c>
    </row>
    <row r="10" customFormat="false" ht="15" hidden="false" customHeight="false" outlineLevel="0" collapsed="false">
      <c r="A10" s="7" t="str">
        <f aca="false">PDRB!A9</f>
        <v>E</v>
      </c>
      <c r="B10" s="7" t="str">
        <f aca="false">PDRB!B9</f>
        <v>Pengadaan Air, Pengelolaan Sampah, Limbah dan Daur Ulang</v>
      </c>
      <c r="C10" s="13" t="n">
        <f aca="false">LQ!I11</f>
        <v>1.3342311289175</v>
      </c>
      <c r="D10" s="22" t="str">
        <f aca="false">IF(C10&gt;=1,"LQ ≥ 1 (basis)","LQ &lt; 1 (non-basis)")</f>
        <v>LQ ≥ 1 (basis)</v>
      </c>
      <c r="E10" s="8" t="n">
        <f aca="false">SSA!L16</f>
        <v>12.6680010767561</v>
      </c>
      <c r="F10" s="22" t="str">
        <f aca="false">IF(E10&gt;0,"SSA (+)","SSA (−)")</f>
        <v>SSA (+)</v>
      </c>
      <c r="G10" s="23" t="str">
        <f aca="false">IF(AND(C10&gt;=1,E10&gt;0),"Kuadran I",IF(AND(C10&lt;1,E10&gt;0),"Kuadran II",IF(AND(C10&gt;=1,E10&lt;=0),"Kuadran III","Kuadran IV")))</f>
        <v>Kuadran I</v>
      </c>
      <c r="H10" s="24" t="str">
        <f aca="false">IF(G10="Kuadran I","Maju dan tumbuh cepat",IF(G10="Kuadran II","Potensial / berkembang cepat",IF(G10="Kuadran III","Maju tapi tertekan","Relatif tertinggal")))</f>
        <v>Maju dan tumbuh cepat</v>
      </c>
      <c r="I10" s="16" t="str">
        <f aca="false">IF(AND(C10&gt;=1,J10&gt;0),"Kuadran I",IF(AND(C10&lt;1,J10&gt;0),"Kuadran II",IF(AND(C10&gt;=1,J10&lt;=0),"Kuadran III","Kuadran IV")))</f>
        <v>Kuadran I</v>
      </c>
      <c r="J10" s="8" t="n">
        <f aca="false">SSA!N16</f>
        <v>6.97265396559248</v>
      </c>
    </row>
    <row r="11" customFormat="false" ht="15" hidden="false" customHeight="false" outlineLevel="0" collapsed="false">
      <c r="A11" s="7" t="str">
        <f aca="false">PDRB!A10</f>
        <v>F</v>
      </c>
      <c r="B11" s="7" t="str">
        <f aca="false">PDRB!B10</f>
        <v>Konstruksi</v>
      </c>
      <c r="C11" s="13" t="n">
        <f aca="false">LQ!I12</f>
        <v>1.34410170005377</v>
      </c>
      <c r="D11" s="22" t="str">
        <f aca="false">IF(C11&gt;=1,"LQ ≥ 1 (basis)","LQ &lt; 1 (non-basis)")</f>
        <v>LQ ≥ 1 (basis)</v>
      </c>
      <c r="E11" s="8" t="n">
        <f aca="false">SSA!L17</f>
        <v>-357.328848056054</v>
      </c>
      <c r="F11" s="22" t="str">
        <f aca="false">IF(E11&gt;0,"SSA (+)","SSA (−)")</f>
        <v>SSA (−)</v>
      </c>
      <c r="G11" s="23" t="str">
        <f aca="false">IF(AND(C11&gt;=1,E11&gt;0),"Kuadran I",IF(AND(C11&lt;1,E11&gt;0),"Kuadran II",IF(AND(C11&gt;=1,E11&lt;=0),"Kuadran III","Kuadran IV")))</f>
        <v>Kuadran III</v>
      </c>
      <c r="H11" s="24" t="str">
        <f aca="false">IF(G11="Kuadran I","Maju dan tumbuh cepat",IF(G11="Kuadran II","Potensial / berkembang cepat",IF(G11="Kuadran III","Maju tapi tertekan","Relatif tertinggal")))</f>
        <v>Maju tapi tertekan</v>
      </c>
      <c r="I11" s="16" t="str">
        <f aca="false">IF(AND(C11&gt;=1,J11&gt;0),"Kuadran I",IF(AND(C11&lt;1,J11&gt;0),"Kuadran II",IF(AND(C11&gt;=1,J11&lt;=0),"Kuadran III","Kuadran IV")))</f>
        <v>Kuadran III</v>
      </c>
      <c r="J11" s="8" t="n">
        <f aca="false">SSA!N17</f>
        <v>-182.788019159254</v>
      </c>
    </row>
    <row r="12" customFormat="false" ht="15" hidden="false" customHeight="false" outlineLevel="0" collapsed="false">
      <c r="A12" s="7" t="str">
        <f aca="false">PDRB!A11</f>
        <v>G</v>
      </c>
      <c r="B12" s="7" t="str">
        <f aca="false">PDRB!B11</f>
        <v>Perdagangan Besar dan Eceran</v>
      </c>
      <c r="C12" s="13" t="n">
        <f aca="false">LQ!I13</f>
        <v>1.30863343277714</v>
      </c>
      <c r="D12" s="22" t="str">
        <f aca="false">IF(C12&gt;=1,"LQ ≥ 1 (basis)","LQ &lt; 1 (non-basis)")</f>
        <v>LQ ≥ 1 (basis)</v>
      </c>
      <c r="E12" s="8" t="n">
        <f aca="false">SSA!L18</f>
        <v>-734.721581960935</v>
      </c>
      <c r="F12" s="22" t="str">
        <f aca="false">IF(E12&gt;0,"SSA (+)","SSA (−)")</f>
        <v>SSA (−)</v>
      </c>
      <c r="G12" s="23" t="str">
        <f aca="false">IF(AND(C12&gt;=1,E12&gt;0),"Kuadran I",IF(AND(C12&lt;1,E12&gt;0),"Kuadran II",IF(AND(C12&gt;=1,E12&lt;=0),"Kuadran III","Kuadran IV")))</f>
        <v>Kuadran III</v>
      </c>
      <c r="H12" s="24" t="str">
        <f aca="false">IF(G12="Kuadran I","Maju dan tumbuh cepat",IF(G12="Kuadran II","Potensial / berkembang cepat",IF(G12="Kuadran III","Maju tapi tertekan","Relatif tertinggal")))</f>
        <v>Maju tapi tertekan</v>
      </c>
      <c r="I12" s="16" t="str">
        <f aca="false">IF(AND(C12&gt;=1,J12&gt;0),"Kuadran I",IF(AND(C12&lt;1,J12&gt;0),"Kuadran II",IF(AND(C12&gt;=1,J12&lt;=0),"Kuadran III","Kuadran IV")))</f>
        <v>Kuadran III</v>
      </c>
      <c r="J12" s="8" t="n">
        <f aca="false">SSA!N18</f>
        <v>-114.39833585224</v>
      </c>
    </row>
    <row r="13" customFormat="false" ht="15" hidden="false" customHeight="false" outlineLevel="0" collapsed="false">
      <c r="A13" s="7" t="str">
        <f aca="false">PDRB!A12</f>
        <v>H</v>
      </c>
      <c r="B13" s="7" t="str">
        <f aca="false">PDRB!B12</f>
        <v>Transportasi dan Pergudangan</v>
      </c>
      <c r="C13" s="13" t="n">
        <f aca="false">LQ!I14</f>
        <v>2.57271801128803</v>
      </c>
      <c r="D13" s="22" t="str">
        <f aca="false">IF(C13&gt;=1,"LQ ≥ 1 (basis)","LQ &lt; 1 (non-basis)")</f>
        <v>LQ ≥ 1 (basis)</v>
      </c>
      <c r="E13" s="8" t="n">
        <f aca="false">SSA!L19</f>
        <v>700.153588622818</v>
      </c>
      <c r="F13" s="22" t="str">
        <f aca="false">IF(E13&gt;0,"SSA (+)","SSA (−)")</f>
        <v>SSA (+)</v>
      </c>
      <c r="G13" s="23" t="str">
        <f aca="false">IF(AND(C13&gt;=1,E13&gt;0),"Kuadran I",IF(AND(C13&lt;1,E13&gt;0),"Kuadran II",IF(AND(C13&gt;=1,E13&lt;=0),"Kuadran III","Kuadran IV")))</f>
        <v>Kuadran I</v>
      </c>
      <c r="H13" s="24" t="str">
        <f aca="false">IF(G13="Kuadran I","Maju dan tumbuh cepat",IF(G13="Kuadran II","Potensial / berkembang cepat",IF(G13="Kuadran III","Maju tapi tertekan","Relatif tertinggal")))</f>
        <v>Maju dan tumbuh cepat</v>
      </c>
      <c r="I13" s="16" t="str">
        <f aca="false">IF(AND(C13&gt;=1,J13&gt;0),"Kuadran I",IF(AND(C13&lt;1,J13&gt;0),"Kuadran II",IF(AND(C13&gt;=1,J13&lt;=0),"Kuadran III","Kuadran IV")))</f>
        <v>Kuadran I</v>
      </c>
      <c r="J13" s="8" t="n">
        <f aca="false">SSA!N19</f>
        <v>113.178451700684</v>
      </c>
    </row>
    <row r="14" customFormat="false" ht="15" hidden="false" customHeight="false" outlineLevel="0" collapsed="false">
      <c r="A14" s="7" t="str">
        <f aca="false">PDRB!A13</f>
        <v>I</v>
      </c>
      <c r="B14" s="7" t="str">
        <f aca="false">PDRB!B13</f>
        <v>Penyediaan Akomodasi dan Makan Minum</v>
      </c>
      <c r="C14" s="13" t="n">
        <f aca="false">LQ!I15</f>
        <v>1.77542797820308</v>
      </c>
      <c r="D14" s="22" t="str">
        <f aca="false">IF(C14&gt;=1,"LQ ≥ 1 (basis)","LQ &lt; 1 (non-basis)")</f>
        <v>LQ ≥ 1 (basis)</v>
      </c>
      <c r="E14" s="8" t="n">
        <f aca="false">SSA!L20</f>
        <v>194.580620179741</v>
      </c>
      <c r="F14" s="22" t="str">
        <f aca="false">IF(E14&gt;0,"SSA (+)","SSA (−)")</f>
        <v>SSA (+)</v>
      </c>
      <c r="G14" s="23" t="str">
        <f aca="false">IF(AND(C14&gt;=1,E14&gt;0),"Kuadran I",IF(AND(C14&lt;1,E14&gt;0),"Kuadran II",IF(AND(C14&gt;=1,E14&lt;=0),"Kuadran III","Kuadran IV")))</f>
        <v>Kuadran I</v>
      </c>
      <c r="H14" s="24" t="str">
        <f aca="false">IF(G14="Kuadran I","Maju dan tumbuh cepat",IF(G14="Kuadran II","Potensial / berkembang cepat",IF(G14="Kuadran III","Maju tapi tertekan","Relatif tertinggal")))</f>
        <v>Maju dan tumbuh cepat</v>
      </c>
      <c r="I14" s="16" t="str">
        <f aca="false">IF(AND(C14&gt;=1,J14&gt;0),"Kuadran I",IF(AND(C14&lt;1,J14&gt;0),"Kuadran II",IF(AND(C14&gt;=1,J14&lt;=0),"Kuadran III","Kuadran IV")))</f>
        <v>Kuadran I</v>
      </c>
      <c r="J14" s="8" t="n">
        <f aca="false">SSA!N20</f>
        <v>134.762216716934</v>
      </c>
    </row>
    <row r="15" customFormat="false" ht="15" hidden="false" customHeight="false" outlineLevel="0" collapsed="false">
      <c r="A15" s="7" t="str">
        <f aca="false">PDRB!A14</f>
        <v>J</v>
      </c>
      <c r="B15" s="7" t="str">
        <f aca="false">PDRB!B14</f>
        <v>Informasi dan Komunikasi</v>
      </c>
      <c r="C15" s="13" t="n">
        <f aca="false">LQ!I16</f>
        <v>1.57303667298303</v>
      </c>
      <c r="D15" s="22" t="str">
        <f aca="false">IF(C15&gt;=1,"LQ ≥ 1 (basis)","LQ &lt; 1 (non-basis)")</f>
        <v>LQ ≥ 1 (basis)</v>
      </c>
      <c r="E15" s="8" t="n">
        <f aca="false">SSA!L21</f>
        <v>1302.61891496531</v>
      </c>
      <c r="F15" s="22" t="str">
        <f aca="false">IF(E15&gt;0,"SSA (+)","SSA (−)")</f>
        <v>SSA (+)</v>
      </c>
      <c r="G15" s="23" t="str">
        <f aca="false">IF(AND(C15&gt;=1,E15&gt;0),"Kuadran I",IF(AND(C15&lt;1,E15&gt;0),"Kuadran II",IF(AND(C15&gt;=1,E15&lt;=0),"Kuadran III","Kuadran IV")))</f>
        <v>Kuadran I</v>
      </c>
      <c r="H15" s="24" t="str">
        <f aca="false">IF(G15="Kuadran I","Maju dan tumbuh cepat",IF(G15="Kuadran II","Potensial / berkembang cepat",IF(G15="Kuadran III","Maju tapi tertekan","Relatif tertinggal")))</f>
        <v>Maju dan tumbuh cepat</v>
      </c>
      <c r="I15" s="16" t="str">
        <f aca="false">IF(AND(C15&gt;=1,J15&gt;0),"Kuadran I",IF(AND(C15&lt;1,J15&gt;0),"Kuadran II",IF(AND(C15&gt;=1,J15&lt;=0),"Kuadran III","Kuadran IV")))</f>
        <v>Kuadran III</v>
      </c>
      <c r="J15" s="8" t="n">
        <f aca="false">SSA!N21</f>
        <v>-63.917703108756</v>
      </c>
    </row>
    <row r="16" customFormat="false" ht="15" hidden="false" customHeight="false" outlineLevel="0" collapsed="false">
      <c r="A16" s="7" t="str">
        <f aca="false">PDRB!A15</f>
        <v>K</v>
      </c>
      <c r="B16" s="7" t="str">
        <f aca="false">PDRB!B15</f>
        <v>Jasa Keuangan dan Asuransi</v>
      </c>
      <c r="C16" s="13" t="n">
        <f aca="false">LQ!I17</f>
        <v>2.61408438735105</v>
      </c>
      <c r="D16" s="22" t="str">
        <f aca="false">IF(C16&gt;=1,"LQ ≥ 1 (basis)","LQ &lt; 1 (non-basis)")</f>
        <v>LQ ≥ 1 (basis)</v>
      </c>
      <c r="E16" s="8" t="n">
        <f aca="false">SSA!L22</f>
        <v>-243.212237228813</v>
      </c>
      <c r="F16" s="22" t="str">
        <f aca="false">IF(E16&gt;0,"SSA (+)","SSA (−)")</f>
        <v>SSA (−)</v>
      </c>
      <c r="G16" s="23" t="str">
        <f aca="false">IF(AND(C16&gt;=1,E16&gt;0),"Kuadran I",IF(AND(C16&lt;1,E16&gt;0),"Kuadran II",IF(AND(C16&gt;=1,E16&lt;=0),"Kuadran III","Kuadran IV")))</f>
        <v>Kuadran III</v>
      </c>
      <c r="H16" s="24" t="str">
        <f aca="false">IF(G16="Kuadran I","Maju dan tumbuh cepat",IF(G16="Kuadran II","Potensial / berkembang cepat",IF(G16="Kuadran III","Maju tapi tertekan","Relatif tertinggal")))</f>
        <v>Maju tapi tertekan</v>
      </c>
      <c r="I16" s="16" t="str">
        <f aca="false">IF(AND(C16&gt;=1,J16&gt;0),"Kuadran I",IF(AND(C16&lt;1,J16&gt;0),"Kuadran II",IF(AND(C16&gt;=1,J16&lt;=0),"Kuadran III","Kuadran IV")))</f>
        <v>Kuadran III</v>
      </c>
      <c r="J16" s="8" t="n">
        <f aca="false">SSA!N22</f>
        <v>-182.045689919282</v>
      </c>
    </row>
    <row r="17" customFormat="false" ht="15" hidden="false" customHeight="false" outlineLevel="0" collapsed="false">
      <c r="A17" s="7" t="str">
        <f aca="false">PDRB!A16</f>
        <v>L</v>
      </c>
      <c r="B17" s="7" t="str">
        <f aca="false">PDRB!B16</f>
        <v>Real Estate</v>
      </c>
      <c r="C17" s="13" t="n">
        <f aca="false">LQ!I18</f>
        <v>1.68634530197883</v>
      </c>
      <c r="D17" s="22" t="str">
        <f aca="false">IF(C17&gt;=1,"LQ ≥ 1 (basis)","LQ &lt; 1 (non-basis)")</f>
        <v>LQ ≥ 1 (basis)</v>
      </c>
      <c r="E17" s="8" t="n">
        <f aca="false">SSA!L23</f>
        <v>92.319884298013</v>
      </c>
      <c r="F17" s="22" t="str">
        <f aca="false">IF(E17&gt;0,"SSA (+)","SSA (−)")</f>
        <v>SSA (+)</v>
      </c>
      <c r="G17" s="23" t="str">
        <f aca="false">IF(AND(C17&gt;=1,E17&gt;0),"Kuadran I",IF(AND(C17&lt;1,E17&gt;0),"Kuadran II",IF(AND(C17&gt;=1,E17&lt;=0),"Kuadran III","Kuadran IV")))</f>
        <v>Kuadran I</v>
      </c>
      <c r="H17" s="24" t="str">
        <f aca="false">IF(G17="Kuadran I","Maju dan tumbuh cepat",IF(G17="Kuadran II","Potensial / berkembang cepat",IF(G17="Kuadran III","Maju tapi tertekan","Relatif tertinggal")))</f>
        <v>Maju dan tumbuh cepat</v>
      </c>
      <c r="I17" s="16" t="str">
        <f aca="false">IF(AND(C17&gt;=1,J17&gt;0),"Kuadran I",IF(AND(C17&lt;1,J17&gt;0),"Kuadran II",IF(AND(C17&gt;=1,J17&lt;=0),"Kuadran III","Kuadran IV")))</f>
        <v>Kuadran III</v>
      </c>
      <c r="J17" s="8" t="n">
        <f aca="false">SSA!N23</f>
        <v>-33.9061519779654</v>
      </c>
    </row>
    <row r="18" customFormat="false" ht="15" hidden="false" customHeight="false" outlineLevel="0" collapsed="false">
      <c r="A18" s="7" t="str">
        <f aca="false">PDRB!A17</f>
        <v>M,N</v>
      </c>
      <c r="B18" s="7" t="str">
        <f aca="false">PDRB!B17</f>
        <v>Jasa Perusahaan</v>
      </c>
      <c r="C18" s="13" t="n">
        <f aca="false">LQ!I19</f>
        <v>4.45640354691839</v>
      </c>
      <c r="D18" s="22" t="str">
        <f aca="false">IF(C18&gt;=1,"LQ ≥ 1 (basis)","LQ &lt; 1 (non-basis)")</f>
        <v>LQ ≥ 1 (basis)</v>
      </c>
      <c r="E18" s="8" t="n">
        <f aca="false">SSA!L24</f>
        <v>-118.231709010646</v>
      </c>
      <c r="F18" s="22" t="str">
        <f aca="false">IF(E18&gt;0,"SSA (+)","SSA (−)")</f>
        <v>SSA (−)</v>
      </c>
      <c r="G18" s="23" t="str">
        <f aca="false">IF(AND(C18&gt;=1,E18&gt;0),"Kuadran I",IF(AND(C18&lt;1,E18&gt;0),"Kuadran II",IF(AND(C18&gt;=1,E18&lt;=0),"Kuadran III","Kuadran IV")))</f>
        <v>Kuadran III</v>
      </c>
      <c r="H18" s="24" t="str">
        <f aca="false">IF(G18="Kuadran I","Maju dan tumbuh cepat",IF(G18="Kuadran II","Potensial / berkembang cepat",IF(G18="Kuadran III","Maju tapi tertekan","Relatif tertinggal")))</f>
        <v>Maju tapi tertekan</v>
      </c>
      <c r="I18" s="16" t="str">
        <f aca="false">IF(AND(C18&gt;=1,J18&gt;0),"Kuadran I",IF(AND(C18&lt;1,J18&gt;0),"Kuadran II",IF(AND(C18&gt;=1,J18&lt;=0),"Kuadran III","Kuadran IV")))</f>
        <v>Kuadran III</v>
      </c>
      <c r="J18" s="8" t="n">
        <f aca="false">SSA!N24</f>
        <v>-65.1538817667347</v>
      </c>
    </row>
    <row r="19" customFormat="false" ht="15" hidden="false" customHeight="false" outlineLevel="0" collapsed="false">
      <c r="A19" s="7" t="str">
        <f aca="false">PDRB!A18</f>
        <v>O</v>
      </c>
      <c r="B19" s="7" t="str">
        <f aca="false">PDRB!B18</f>
        <v>Administrasi Pemerintahan, Pertahanan dan Jaminan Sosial Wajib</v>
      </c>
      <c r="C19" s="13" t="n">
        <f aca="false">LQ!I20</f>
        <v>1.25027727166312</v>
      </c>
      <c r="D19" s="22" t="str">
        <f aca="false">IF(C19&gt;=1,"LQ ≥ 1 (basis)","LQ &lt; 1 (non-basis)")</f>
        <v>LQ ≥ 1 (basis)</v>
      </c>
      <c r="E19" s="8" t="n">
        <f aca="false">SSA!L25</f>
        <v>-46.8531077714576</v>
      </c>
      <c r="F19" s="22" t="str">
        <f aca="false">IF(E19&gt;0,"SSA (+)","SSA (−)")</f>
        <v>SSA (−)</v>
      </c>
      <c r="G19" s="23" t="str">
        <f aca="false">IF(AND(C19&gt;=1,E19&gt;0),"Kuadran I",IF(AND(C19&lt;1,E19&gt;0),"Kuadran II",IF(AND(C19&gt;=1,E19&lt;=0),"Kuadran III","Kuadran IV")))</f>
        <v>Kuadran III</v>
      </c>
      <c r="H19" s="24" t="str">
        <f aca="false">IF(G19="Kuadran I","Maju dan tumbuh cepat",IF(G19="Kuadran II","Potensial / berkembang cepat",IF(G19="Kuadran III","Maju tapi tertekan","Relatif tertinggal")))</f>
        <v>Maju tapi tertekan</v>
      </c>
      <c r="I19" s="16" t="str">
        <f aca="false">IF(AND(C19&gt;=1,J19&gt;0),"Kuadran I",IF(AND(C19&lt;1,J19&gt;0),"Kuadran II",IF(AND(C19&gt;=1,J19&lt;=0),"Kuadran III","Kuadran IV")))</f>
        <v>Kuadran I</v>
      </c>
      <c r="J19" s="8" t="n">
        <f aca="false">SSA!N25</f>
        <v>82.1689999393814</v>
      </c>
    </row>
    <row r="20" customFormat="false" ht="15" hidden="false" customHeight="false" outlineLevel="0" collapsed="false">
      <c r="A20" s="7" t="str">
        <f aca="false">PDRB!A19</f>
        <v>P</v>
      </c>
      <c r="B20" s="7" t="str">
        <f aca="false">PDRB!B19</f>
        <v>Jasa Pendidikan</v>
      </c>
      <c r="C20" s="13" t="n">
        <f aca="false">LQ!I21</f>
        <v>1.10509267102404</v>
      </c>
      <c r="D20" s="22" t="str">
        <f aca="false">IF(C20&gt;=1,"LQ ≥ 1 (basis)","LQ &lt; 1 (non-basis)")</f>
        <v>LQ ≥ 1 (basis)</v>
      </c>
      <c r="E20" s="8" t="n">
        <f aca="false">SSA!L26</f>
        <v>128.664108833391</v>
      </c>
      <c r="F20" s="22" t="str">
        <f aca="false">IF(E20&gt;0,"SSA (+)","SSA (−)")</f>
        <v>SSA (+)</v>
      </c>
      <c r="G20" s="23" t="str">
        <f aca="false">IF(AND(C20&gt;=1,E20&gt;0),"Kuadran I",IF(AND(C20&lt;1,E20&gt;0),"Kuadran II",IF(AND(C20&gt;=1,E20&lt;=0),"Kuadran III","Kuadran IV")))</f>
        <v>Kuadran I</v>
      </c>
      <c r="H20" s="24" t="str">
        <f aca="false">IF(G20="Kuadran I","Maju dan tumbuh cepat",IF(G20="Kuadran II","Potensial / berkembang cepat",IF(G20="Kuadran III","Maju tapi tertekan","Relatif tertinggal")))</f>
        <v>Maju dan tumbuh cepat</v>
      </c>
      <c r="I20" s="16" t="str">
        <f aca="false">IF(AND(C20&gt;=1,J20&gt;0),"Kuadran I",IF(AND(C20&lt;1,J20&gt;0),"Kuadran II",IF(AND(C20&gt;=1,J20&lt;=0),"Kuadran III","Kuadran IV")))</f>
        <v>Kuadran I</v>
      </c>
      <c r="J20" s="8" t="n">
        <f aca="false">SSA!N26</f>
        <v>84.4693585727401</v>
      </c>
    </row>
    <row r="21" customFormat="false" ht="15" hidden="false" customHeight="false" outlineLevel="0" collapsed="false">
      <c r="A21" s="7" t="str">
        <f aca="false">PDRB!A20</f>
        <v>Q</v>
      </c>
      <c r="B21" s="7" t="str">
        <f aca="false">PDRB!B20</f>
        <v>Jasa Kesehatan dan Kegiatan Sosial</v>
      </c>
      <c r="C21" s="13" t="n">
        <f aca="false">LQ!I22</f>
        <v>1.89351672036256</v>
      </c>
      <c r="D21" s="22" t="str">
        <f aca="false">IF(C21&gt;=1,"LQ ≥ 1 (basis)","LQ &lt; 1 (non-basis)")</f>
        <v>LQ ≥ 1 (basis)</v>
      </c>
      <c r="E21" s="8" t="n">
        <f aca="false">SSA!L27</f>
        <v>58.0849727024815</v>
      </c>
      <c r="F21" s="22" t="str">
        <f aca="false">IF(E21&gt;0,"SSA (+)","SSA (−)")</f>
        <v>SSA (+)</v>
      </c>
      <c r="G21" s="23" t="str">
        <f aca="false">IF(AND(C21&gt;=1,E21&gt;0),"Kuadran I",IF(AND(C21&lt;1,E21&gt;0),"Kuadran II",IF(AND(C21&gt;=1,E21&lt;=0),"Kuadran III","Kuadran IV")))</f>
        <v>Kuadran I</v>
      </c>
      <c r="H21" s="24" t="str">
        <f aca="false">IF(G21="Kuadran I","Maju dan tumbuh cepat",IF(G21="Kuadran II","Potensial / berkembang cepat",IF(G21="Kuadran III","Maju tapi tertekan","Relatif tertinggal")))</f>
        <v>Maju dan tumbuh cepat</v>
      </c>
      <c r="I21" s="16" t="str">
        <f aca="false">IF(AND(C21&gt;=1,J21&gt;0),"Kuadran I",IF(AND(C21&lt;1,J21&gt;0),"Kuadran II",IF(AND(C21&gt;=1,J21&lt;=0),"Kuadran III","Kuadran IV")))</f>
        <v>Kuadran I</v>
      </c>
      <c r="J21" s="8" t="n">
        <f aca="false">SSA!N27</f>
        <v>42.2802481358482</v>
      </c>
    </row>
    <row r="22" customFormat="false" ht="15" hidden="false" customHeight="false" outlineLevel="0" collapsed="false">
      <c r="A22" s="7" t="str">
        <f aca="false">PDRB!A21</f>
        <v>R,S,T, U</v>
      </c>
      <c r="B22" s="7" t="str">
        <f aca="false">PDRB!B21</f>
        <v>Jasa lainnya</v>
      </c>
      <c r="C22" s="13" t="n">
        <f aca="false">LQ!I23</f>
        <v>1.63105487947404</v>
      </c>
      <c r="D22" s="22" t="str">
        <f aca="false">IF(C22&gt;=1,"LQ ≥ 1 (basis)","LQ &lt; 1 (non-basis)")</f>
        <v>LQ ≥ 1 (basis)</v>
      </c>
      <c r="E22" s="8" t="n">
        <f aca="false">SSA!L28</f>
        <v>184.198072675606</v>
      </c>
      <c r="F22" s="22" t="str">
        <f aca="false">IF(E22&gt;0,"SSA (+)","SSA (−)")</f>
        <v>SSA (+)</v>
      </c>
      <c r="G22" s="23" t="str">
        <f aca="false">IF(AND(C22&gt;=1,E22&gt;0),"Kuadran I",IF(AND(C22&lt;1,E22&gt;0),"Kuadran II",IF(AND(C22&gt;=1,E22&lt;=0),"Kuadran III","Kuadran IV")))</f>
        <v>Kuadran I</v>
      </c>
      <c r="H22" s="24" t="str">
        <f aca="false">IF(G22="Kuadran I","Maju dan tumbuh cepat",IF(G22="Kuadran II","Potensial / berkembang cepat",IF(G22="Kuadran III","Maju tapi tertekan","Relatif tertinggal")))</f>
        <v>Maju dan tumbuh cepat</v>
      </c>
      <c r="I22" s="16" t="str">
        <f aca="false">IF(AND(C22&gt;=1,J22&gt;0),"Kuadran I",IF(AND(C22&lt;1,J22&gt;0),"Kuadran II",IF(AND(C22&gt;=1,J22&lt;=0),"Kuadran III","Kuadran IV")))</f>
        <v>Kuadran I</v>
      </c>
      <c r="J22" s="8" t="n">
        <f aca="false">SSA!N28</f>
        <v>94.434526852052</v>
      </c>
    </row>
    <row r="25" customFormat="false" ht="15" hidden="false" customHeight="false" outlineLevel="0" collapsed="false">
      <c r="A25" s="3" t="s">
        <v>100</v>
      </c>
    </row>
    <row r="26" customFormat="false" ht="15" hidden="false" customHeight="false" outlineLevel="0" collapsed="false">
      <c r="A26" s="23"/>
      <c r="B26" s="23" t="s">
        <v>101</v>
      </c>
      <c r="C26" s="23" t="s">
        <v>102</v>
      </c>
    </row>
    <row r="27" customFormat="false" ht="15" hidden="false" customHeight="false" outlineLevel="0" collapsed="false">
      <c r="A27" s="23" t="s">
        <v>103</v>
      </c>
      <c r="B27" s="25" t="n">
        <f aca="false">COUNTIF($G$6:$G$22,"Kuadran III")</f>
        <v>6</v>
      </c>
      <c r="C27" s="26" t="n">
        <f aca="false">COUNTIF($G$6:$G$22,"Kuadran I")</f>
        <v>8</v>
      </c>
      <c r="D27" s="4" t="s">
        <v>104</v>
      </c>
    </row>
    <row r="28" customFormat="false" ht="15" hidden="false" customHeight="false" outlineLevel="0" collapsed="false">
      <c r="A28" s="23" t="s">
        <v>105</v>
      </c>
      <c r="B28" s="27" t="n">
        <f aca="false">COUNTIF($G$6:$G$22,"Kuadran IV")</f>
        <v>3</v>
      </c>
      <c r="C28" s="28" t="n">
        <f aca="false">COUNTIF($G$6:$G$22,"Kuadran II")</f>
        <v>0</v>
      </c>
      <c r="D28" s="4" t="s">
        <v>106</v>
      </c>
    </row>
    <row r="30" customFormat="false" ht="15" hidden="false" customHeight="false" outlineLevel="0" collapsed="false">
      <c r="A30" s="4" t="s">
        <v>107</v>
      </c>
    </row>
    <row r="31" customFormat="false" ht="15" hidden="false" customHeight="false" outlineLevel="0" collapsed="false">
      <c r="A31" s="4" t="s">
        <v>108</v>
      </c>
    </row>
    <row r="32" customFormat="false" ht="15" hidden="false" customHeight="false" outlineLevel="0" collapsed="false">
      <c r="A32" s="4" t="s">
        <v>109</v>
      </c>
    </row>
  </sheetData>
  <conditionalFormatting sqref="A6:H22">
    <cfRule type="expression" priority="2" aboveAverage="0" equalAverage="0" bottom="0" percent="0" rank="0" text="" dxfId="0">
      <formula>$G6="Kuadran I"</formula>
    </cfRule>
    <cfRule type="expression" priority="3" aboveAverage="0" equalAverage="0" bottom="0" percent="0" rank="0" text="" dxfId="1">
      <formula>$G6="Kuadran II"</formula>
    </cfRule>
    <cfRule type="expression" priority="4" aboveAverage="0" equalAverage="0" bottom="0" percent="0" rank="0" text="" dxfId="2">
      <formula>$G6="Kuadran III"</formula>
    </cfRule>
    <cfRule type="expression" priority="5" aboveAverage="0" equalAverage="0" bottom="0" percent="0" rank="0" text="" dxfId="3">
      <formula>$G6="Kuadran IV"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0"/>
    <col collapsed="false" customWidth="true" hidden="false" outlineLevel="0" max="5" min="5" style="0" width="60"/>
  </cols>
  <sheetData>
    <row r="1" customFormat="false" ht="21.75" hidden="false" customHeight="true" outlineLevel="0" collapsed="false">
      <c r="A1" s="1" t="s">
        <v>110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3" t="s">
        <v>111</v>
      </c>
      <c r="E3" s="7"/>
    </row>
    <row r="4" customFormat="false" ht="15" hidden="false" customHeight="false" outlineLevel="0" collapsed="false">
      <c r="A4" s="17" t="s">
        <v>112</v>
      </c>
      <c r="E4" s="7" t="s">
        <v>113</v>
      </c>
    </row>
    <row r="5" customFormat="false" ht="15" hidden="false" customHeight="false" outlineLevel="0" collapsed="false">
      <c r="A5" s="17" t="s">
        <v>114</v>
      </c>
      <c r="E5" s="7" t="s">
        <v>115</v>
      </c>
    </row>
    <row r="6" customFormat="false" ht="15" hidden="false" customHeight="false" outlineLevel="0" collapsed="false">
      <c r="A6" s="17" t="s">
        <v>116</v>
      </c>
      <c r="E6" s="7" t="s">
        <v>117</v>
      </c>
    </row>
    <row r="7" customFormat="false" ht="15" hidden="false" customHeight="false" outlineLevel="0" collapsed="false">
      <c r="A7" s="17" t="s">
        <v>118</v>
      </c>
      <c r="E7" s="7" t="s">
        <v>119</v>
      </c>
    </row>
    <row r="8" customFormat="false" ht="15" hidden="false" customHeight="false" outlineLevel="0" collapsed="false">
      <c r="A8" s="17" t="s">
        <v>120</v>
      </c>
      <c r="E8" s="7" t="s">
        <v>121</v>
      </c>
    </row>
    <row r="9" customFormat="false" ht="15" hidden="false" customHeight="false" outlineLevel="0" collapsed="false">
      <c r="A9" s="17" t="s">
        <v>122</v>
      </c>
      <c r="E9" s="7" t="s">
        <v>123</v>
      </c>
    </row>
    <row r="10" customFormat="false" ht="15" hidden="false" customHeight="false" outlineLevel="0" collapsed="false">
      <c r="A10" s="17"/>
      <c r="E10" s="7"/>
    </row>
    <row r="11" customFormat="false" ht="15" hidden="false" customHeight="false" outlineLevel="0" collapsed="false">
      <c r="A11" s="3" t="s">
        <v>124</v>
      </c>
      <c r="E11" s="7"/>
    </row>
    <row r="12" customFormat="false" ht="15" hidden="false" customHeight="false" outlineLevel="0" collapsed="false">
      <c r="A12" s="17" t="s">
        <v>112</v>
      </c>
      <c r="E12" s="7" t="s">
        <v>125</v>
      </c>
    </row>
    <row r="13" customFormat="false" ht="15" hidden="false" customHeight="false" outlineLevel="0" collapsed="false">
      <c r="A13" s="17" t="s">
        <v>126</v>
      </c>
      <c r="E13" s="7" t="s">
        <v>127</v>
      </c>
    </row>
    <row r="14" customFormat="false" ht="15" hidden="false" customHeight="false" outlineLevel="0" collapsed="false">
      <c r="A14" s="17" t="s">
        <v>128</v>
      </c>
      <c r="E14" s="7" t="s">
        <v>129</v>
      </c>
    </row>
    <row r="15" customFormat="false" ht="15" hidden="false" customHeight="false" outlineLevel="0" collapsed="false">
      <c r="A15" s="17" t="s">
        <v>130</v>
      </c>
      <c r="E15" s="7" t="s">
        <v>131</v>
      </c>
    </row>
    <row r="16" customFormat="false" ht="15" hidden="false" customHeight="false" outlineLevel="0" collapsed="false">
      <c r="A16" s="17" t="s">
        <v>132</v>
      </c>
      <c r="E16" s="7" t="s">
        <v>133</v>
      </c>
    </row>
    <row r="17" customFormat="false" ht="15" hidden="false" customHeight="false" outlineLevel="0" collapsed="false">
      <c r="A17" s="17" t="s">
        <v>134</v>
      </c>
      <c r="E17" s="7" t="s">
        <v>135</v>
      </c>
    </row>
    <row r="18" customFormat="false" ht="15" hidden="false" customHeight="false" outlineLevel="0" collapsed="false">
      <c r="A18" s="17" t="s">
        <v>136</v>
      </c>
      <c r="E18" s="7" t="s">
        <v>137</v>
      </c>
    </row>
    <row r="19" customFormat="false" ht="15" hidden="false" customHeight="false" outlineLevel="0" collapsed="false">
      <c r="A19" s="17" t="s">
        <v>138</v>
      </c>
      <c r="E19" s="7" t="s">
        <v>139</v>
      </c>
    </row>
    <row r="20" customFormat="false" ht="15" hidden="false" customHeight="false" outlineLevel="0" collapsed="false">
      <c r="A20" s="17" t="s">
        <v>140</v>
      </c>
      <c r="E20" s="7" t="s">
        <v>141</v>
      </c>
    </row>
    <row r="21" customFormat="false" ht="15" hidden="false" customHeight="false" outlineLevel="0" collapsed="false">
      <c r="A21" s="17"/>
      <c r="E21" s="7"/>
    </row>
    <row r="22" customFormat="false" ht="15" hidden="false" customHeight="false" outlineLevel="0" collapsed="false">
      <c r="A22" s="3" t="s">
        <v>142</v>
      </c>
      <c r="E22" s="7"/>
    </row>
    <row r="23" customFormat="false" ht="15" hidden="false" customHeight="false" outlineLevel="0" collapsed="false">
      <c r="A23" s="17" t="s">
        <v>143</v>
      </c>
      <c r="E23" s="7" t="s">
        <v>144</v>
      </c>
    </row>
    <row r="24" customFormat="false" ht="15" hidden="false" customHeight="false" outlineLevel="0" collapsed="false">
      <c r="A24" s="17" t="s">
        <v>145</v>
      </c>
      <c r="E24" s="7" t="s">
        <v>146</v>
      </c>
    </row>
    <row r="25" customFormat="false" ht="15" hidden="false" customHeight="false" outlineLevel="0" collapsed="false">
      <c r="A25" s="17" t="s">
        <v>147</v>
      </c>
      <c r="E25" s="7" t="s">
        <v>148</v>
      </c>
    </row>
    <row r="26" customFormat="false" ht="15" hidden="false" customHeight="false" outlineLevel="0" collapsed="false">
      <c r="A26" s="17" t="s">
        <v>149</v>
      </c>
      <c r="E26" s="7" t="s">
        <v>150</v>
      </c>
    </row>
    <row r="28" customFormat="false" ht="15" hidden="false" customHeight="false" outlineLevel="0" collapsed="false">
      <c r="A28" s="3" t="s">
        <v>151</v>
      </c>
    </row>
    <row r="29" customFormat="false" ht="15" hidden="false" customHeight="false" outlineLevel="0" collapsed="false">
      <c r="A29" s="5" t="s">
        <v>152</v>
      </c>
      <c r="B29" s="5" t="s">
        <v>153</v>
      </c>
      <c r="C29" s="5" t="s">
        <v>154</v>
      </c>
      <c r="D29" s="5"/>
      <c r="E29" s="5" t="s">
        <v>155</v>
      </c>
    </row>
    <row r="30" customFormat="false" ht="15" hidden="false" customHeight="false" outlineLevel="0" collapsed="false">
      <c r="A30" s="7" t="s">
        <v>156</v>
      </c>
      <c r="B30" s="11" t="n">
        <f aca="false">PDRB!I12</f>
        <v>3933.69</v>
      </c>
      <c r="C30" s="4" t="s">
        <v>157</v>
      </c>
      <c r="E30" s="4" t="s">
        <v>158</v>
      </c>
    </row>
    <row r="31" customFormat="false" ht="15" hidden="false" customHeight="false" outlineLevel="0" collapsed="false">
      <c r="A31" s="7" t="s">
        <v>159</v>
      </c>
      <c r="B31" s="11" t="n">
        <f aca="false">PDRB!I22</f>
        <v>32295.74</v>
      </c>
      <c r="C31" s="4" t="s">
        <v>160</v>
      </c>
      <c r="E31" s="4" t="s">
        <v>158</v>
      </c>
    </row>
    <row r="32" customFormat="false" ht="15" hidden="false" customHeight="false" outlineLevel="0" collapsed="false">
      <c r="A32" s="7" t="s">
        <v>161</v>
      </c>
      <c r="B32" s="11" t="n">
        <f aca="false">PDRB!C12</f>
        <v>71064.36</v>
      </c>
      <c r="C32" s="4" t="s">
        <v>162</v>
      </c>
      <c r="E32" s="4" t="s">
        <v>158</v>
      </c>
    </row>
    <row r="33" customFormat="false" ht="15" hidden="false" customHeight="false" outlineLevel="0" collapsed="false">
      <c r="A33" s="7" t="s">
        <v>163</v>
      </c>
      <c r="B33" s="11" t="n">
        <f aca="false">PDRB!C22</f>
        <v>1490959.7</v>
      </c>
      <c r="C33" s="4" t="s">
        <v>164</v>
      </c>
      <c r="E33" s="4" t="s">
        <v>158</v>
      </c>
    </row>
    <row r="34" customFormat="false" ht="15" hidden="false" customHeight="false" outlineLevel="0" collapsed="false">
      <c r="A34" s="7" t="s">
        <v>165</v>
      </c>
      <c r="B34" s="20" t="n">
        <f aca="false">B30/B31</f>
        <v>0.121802132417464</v>
      </c>
      <c r="C34" s="4" t="s">
        <v>166</v>
      </c>
      <c r="E34" s="4" t="s">
        <v>167</v>
      </c>
    </row>
    <row r="35" customFormat="false" ht="15" hidden="false" customHeight="false" outlineLevel="0" collapsed="false">
      <c r="A35" s="7" t="s">
        <v>168</v>
      </c>
      <c r="B35" s="20" t="n">
        <f aca="false">B32/B33</f>
        <v>0.0476635015688218</v>
      </c>
      <c r="C35" s="4" t="s">
        <v>169</v>
      </c>
      <c r="E35" s="4" t="s">
        <v>170</v>
      </c>
    </row>
    <row r="36" customFormat="false" ht="15" hidden="false" customHeight="false" outlineLevel="0" collapsed="false">
      <c r="A36" s="7" t="s">
        <v>171</v>
      </c>
      <c r="B36" s="14" t="n">
        <f aca="false">B34/B35</f>
        <v>2.55545917543622</v>
      </c>
      <c r="C36" s="4" t="s">
        <v>172</v>
      </c>
      <c r="E36" s="4" t="s">
        <v>173</v>
      </c>
    </row>
    <row r="37" customFormat="false" ht="15" hidden="false" customHeight="false" outlineLevel="0" collapsed="false">
      <c r="A37" s="7" t="s">
        <v>174</v>
      </c>
      <c r="B37" s="11" t="n">
        <f aca="false">PDRB!I12</f>
        <v>3933.69</v>
      </c>
      <c r="C37" s="4" t="s">
        <v>157</v>
      </c>
      <c r="E37" s="4" t="s">
        <v>175</v>
      </c>
    </row>
    <row r="38" customFormat="false" ht="15" hidden="false" customHeight="false" outlineLevel="0" collapsed="false">
      <c r="A38" s="7" t="s">
        <v>176</v>
      </c>
      <c r="B38" s="11" t="n">
        <f aca="false">PDRB!N12</f>
        <v>5322.75</v>
      </c>
      <c r="C38" s="4" t="s">
        <v>177</v>
      </c>
      <c r="E38" s="4"/>
    </row>
    <row r="39" customFormat="false" ht="15" hidden="false" customHeight="false" outlineLevel="0" collapsed="false">
      <c r="A39" s="7" t="s">
        <v>178</v>
      </c>
      <c r="B39" s="20" t="n">
        <f aca="false">(B38-B37)/B37</f>
        <v>0.35311882736057</v>
      </c>
      <c r="C39" s="4" t="s">
        <v>179</v>
      </c>
      <c r="E39" s="4" t="s">
        <v>180</v>
      </c>
    </row>
    <row r="40" customFormat="false" ht="15" hidden="false" customHeight="false" outlineLevel="0" collapsed="false">
      <c r="A40" s="7" t="s">
        <v>181</v>
      </c>
      <c r="B40" s="20" t="n">
        <f aca="false">(PDRB!H12-PDRB!C12)/PDRB!C12</f>
        <v>0.324347253672586</v>
      </c>
      <c r="C40" s="4" t="s">
        <v>182</v>
      </c>
      <c r="E40" s="4" t="s">
        <v>183</v>
      </c>
    </row>
    <row r="41" customFormat="false" ht="15" hidden="false" customHeight="false" outlineLevel="0" collapsed="false">
      <c r="A41" s="7" t="s">
        <v>184</v>
      </c>
      <c r="B41" s="20" t="n">
        <f aca="false">(PDRB!H22-PDRB!C22)/PDRB!C22</f>
        <v>0.175129817392113</v>
      </c>
      <c r="C41" s="4" t="s">
        <v>185</v>
      </c>
      <c r="E41" s="4" t="s">
        <v>186</v>
      </c>
    </row>
    <row r="42" customFormat="false" ht="15" hidden="false" customHeight="false" outlineLevel="0" collapsed="false">
      <c r="A42" s="7" t="s">
        <v>126</v>
      </c>
      <c r="B42" s="11" t="n">
        <f aca="false">B37*B41</f>
        <v>688.906411377182</v>
      </c>
      <c r="C42" s="4" t="s">
        <v>187</v>
      </c>
      <c r="E42" s="4" t="s">
        <v>188</v>
      </c>
    </row>
    <row r="43" customFormat="false" ht="15" hidden="false" customHeight="false" outlineLevel="0" collapsed="false">
      <c r="A43" s="7" t="s">
        <v>128</v>
      </c>
      <c r="B43" s="11" t="n">
        <f aca="false">B37*(B40-B41)</f>
        <v>586.975136922134</v>
      </c>
      <c r="C43" s="4" t="s">
        <v>189</v>
      </c>
      <c r="E43" s="4" t="s">
        <v>190</v>
      </c>
    </row>
    <row r="44" customFormat="false" ht="15" hidden="false" customHeight="false" outlineLevel="0" collapsed="false">
      <c r="A44" s="7" t="s">
        <v>191</v>
      </c>
      <c r="B44" s="11" t="n">
        <f aca="false">B37*(B39-B41)</f>
        <v>700.153588622818</v>
      </c>
      <c r="C44" s="4" t="s">
        <v>192</v>
      </c>
      <c r="E44" s="4" t="s">
        <v>193</v>
      </c>
    </row>
    <row r="45" customFormat="false" ht="15" hidden="false" customHeight="false" outlineLevel="0" collapsed="false">
      <c r="A45" s="7" t="s">
        <v>194</v>
      </c>
      <c r="B45" s="11" t="n">
        <f aca="false">B42+B43+B44</f>
        <v>1976.03513692213</v>
      </c>
      <c r="C45" s="4" t="s">
        <v>195</v>
      </c>
      <c r="E45" s="4" t="s">
        <v>196</v>
      </c>
    </row>
    <row r="46" customFormat="false" ht="15" hidden="false" customHeight="false" outlineLevel="0" collapsed="false">
      <c r="A46" s="7" t="s">
        <v>197</v>
      </c>
      <c r="B46" s="11" t="n">
        <f aca="false">B37*(B39-B40)</f>
        <v>113.178451700684</v>
      </c>
      <c r="C46" s="4" t="s">
        <v>198</v>
      </c>
      <c r="E46" s="4" t="s">
        <v>199</v>
      </c>
    </row>
    <row r="47" customFormat="false" ht="15" hidden="false" customHeight="false" outlineLevel="0" collapsed="false">
      <c r="A47" s="7" t="s">
        <v>200</v>
      </c>
      <c r="B47" s="11" t="n">
        <f aca="false">B42+B43+B46</f>
        <v>1389.06</v>
      </c>
      <c r="C47" s="4" t="s">
        <v>201</v>
      </c>
      <c r="E47" s="4" t="s">
        <v>202</v>
      </c>
    </row>
    <row r="48" customFormat="false" ht="15" hidden="false" customHeight="false" outlineLevel="0" collapsed="false">
      <c r="A48" s="7" t="s">
        <v>203</v>
      </c>
      <c r="B48" s="11" t="n">
        <f aca="false">B38-B37</f>
        <v>1389.06</v>
      </c>
      <c r="C48" s="4" t="s">
        <v>204</v>
      </c>
      <c r="E48" s="4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2026-08-15T05:22:49Z</dcterms:created>
  <dc:creator>openpyxl</dc:creator>
  <dc:description/>
  <dc:language>en-US</dc:language>
  <cp:lastModifiedBy/>
  <dcterms:modified xsi:type="dcterms:W3CDTF">2026-08-15T05:22:49Z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