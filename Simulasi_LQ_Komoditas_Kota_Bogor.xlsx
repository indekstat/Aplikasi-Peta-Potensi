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/>
  <mc:AlternateContent xmlns:mc="http://schemas.openxmlformats.org/markup-compatibility/2006">
    <mc:Choice Requires="x15">
      <x15ac:absPath xmlns:x15ac="http://schemas.microsoft.com/office/spreadsheetml/2010/11/ac" url="/Users/mac/Downloads/"/>
    </mc:Choice>
  </mc:AlternateContent>
  <xr:revisionPtr revIDLastSave="0" documentId="13_ncr:1_{7689A88A-D799-BB48-BB8A-D674FC2D1098}" xr6:coauthVersionLast="47" xr6:coauthVersionMax="47" xr10:uidLastSave="{00000000-0000-0000-0000-000000000000}"/>
  <bookViews>
    <workbookView xWindow="0" yWindow="600" windowWidth="28800" windowHeight="17400" activeTab="1" xr2:uid="{00000000-000D-0000-FFFF-FFFF00000000}"/>
  </bookViews>
  <sheets>
    <sheet name="Perhitungan LQ" sheetId="1" r:id="rId1"/>
    <sheet name="Penjelasan Rumu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6" i="1" l="1"/>
  <c r="I8" i="1"/>
  <c r="E2" i="1"/>
  <c r="G2" i="1" s="1"/>
  <c r="I2" i="1" s="1"/>
  <c r="J2" i="1" s="1"/>
  <c r="H26" i="1"/>
  <c r="E26" i="1"/>
  <c r="G26" i="1" s="1"/>
  <c r="F25" i="1"/>
  <c r="H25" i="1" s="1"/>
  <c r="E25" i="1"/>
  <c r="G25" i="1" s="1"/>
  <c r="I25" i="1" s="1"/>
  <c r="J25" i="1" s="1"/>
  <c r="F24" i="1"/>
  <c r="H24" i="1" s="1"/>
  <c r="E24" i="1"/>
  <c r="G24" i="1" s="1"/>
  <c r="I24" i="1" s="1"/>
  <c r="J24" i="1" s="1"/>
  <c r="F23" i="1"/>
  <c r="H23" i="1" s="1"/>
  <c r="E23" i="1"/>
  <c r="G23" i="1" s="1"/>
  <c r="I23" i="1" s="1"/>
  <c r="J23" i="1" s="1"/>
  <c r="F22" i="1"/>
  <c r="H22" i="1" s="1"/>
  <c r="E22" i="1"/>
  <c r="G22" i="1" s="1"/>
  <c r="I22" i="1" s="1"/>
  <c r="J22" i="1" s="1"/>
  <c r="F21" i="1"/>
  <c r="H21" i="1" s="1"/>
  <c r="E21" i="1"/>
  <c r="G21" i="1" s="1"/>
  <c r="I21" i="1" s="1"/>
  <c r="J21" i="1" s="1"/>
  <c r="F20" i="1"/>
  <c r="H20" i="1" s="1"/>
  <c r="E20" i="1"/>
  <c r="G20" i="1" s="1"/>
  <c r="F19" i="1"/>
  <c r="H19" i="1" s="1"/>
  <c r="E19" i="1"/>
  <c r="G19" i="1" s="1"/>
  <c r="I19" i="1" s="1"/>
  <c r="J19" i="1" s="1"/>
  <c r="F18" i="1"/>
  <c r="H18" i="1" s="1"/>
  <c r="E18" i="1"/>
  <c r="G18" i="1" s="1"/>
  <c r="I18" i="1" s="1"/>
  <c r="J18" i="1" s="1"/>
  <c r="F17" i="1"/>
  <c r="H17" i="1" s="1"/>
  <c r="E17" i="1"/>
  <c r="G17" i="1" s="1"/>
  <c r="F16" i="1"/>
  <c r="H16" i="1" s="1"/>
  <c r="E16" i="1"/>
  <c r="G16" i="1" s="1"/>
  <c r="I16" i="1" s="1"/>
  <c r="J16" i="1" s="1"/>
  <c r="F15" i="1"/>
  <c r="H15" i="1" s="1"/>
  <c r="E15" i="1"/>
  <c r="G15" i="1" s="1"/>
  <c r="I15" i="1" s="1"/>
  <c r="J15" i="1" s="1"/>
  <c r="H14" i="1"/>
  <c r="F14" i="1"/>
  <c r="E14" i="1"/>
  <c r="G14" i="1" s="1"/>
  <c r="I14" i="1" s="1"/>
  <c r="J14" i="1" s="1"/>
  <c r="F13" i="1"/>
  <c r="H13" i="1" s="1"/>
  <c r="E13" i="1"/>
  <c r="G13" i="1" s="1"/>
  <c r="I13" i="1" s="1"/>
  <c r="J13" i="1" s="1"/>
  <c r="F12" i="1"/>
  <c r="H12" i="1" s="1"/>
  <c r="E12" i="1"/>
  <c r="G12" i="1" s="1"/>
  <c r="I12" i="1" s="1"/>
  <c r="J12" i="1" s="1"/>
  <c r="H11" i="1"/>
  <c r="F11" i="1"/>
  <c r="E11" i="1"/>
  <c r="G11" i="1" s="1"/>
  <c r="I11" i="1" s="1"/>
  <c r="J11" i="1" s="1"/>
  <c r="F10" i="1"/>
  <c r="H10" i="1" s="1"/>
  <c r="E10" i="1"/>
  <c r="G10" i="1" s="1"/>
  <c r="I10" i="1" s="1"/>
  <c r="J10" i="1" s="1"/>
  <c r="F9" i="1"/>
  <c r="H9" i="1" s="1"/>
  <c r="E9" i="1"/>
  <c r="G9" i="1" s="1"/>
  <c r="I9" i="1" s="1"/>
  <c r="J9" i="1" s="1"/>
  <c r="F8" i="1"/>
  <c r="H8" i="1" s="1"/>
  <c r="E8" i="1"/>
  <c r="G8" i="1" s="1"/>
  <c r="J8" i="1" s="1"/>
  <c r="F7" i="1"/>
  <c r="H7" i="1" s="1"/>
  <c r="E7" i="1"/>
  <c r="G7" i="1" s="1"/>
  <c r="I7" i="1" s="1"/>
  <c r="J7" i="1" s="1"/>
  <c r="F6" i="1"/>
  <c r="H6" i="1" s="1"/>
  <c r="E6" i="1"/>
  <c r="G6" i="1" s="1"/>
  <c r="I6" i="1" s="1"/>
  <c r="J6" i="1" s="1"/>
  <c r="F5" i="1"/>
  <c r="H5" i="1" s="1"/>
  <c r="E5" i="1"/>
  <c r="G5" i="1" s="1"/>
  <c r="I5" i="1" s="1"/>
  <c r="J5" i="1" s="1"/>
  <c r="F4" i="1"/>
  <c r="H4" i="1" s="1"/>
  <c r="E4" i="1"/>
  <c r="G4" i="1" s="1"/>
  <c r="I4" i="1" s="1"/>
  <c r="J4" i="1" s="1"/>
  <c r="F3" i="1"/>
  <c r="H3" i="1" s="1"/>
  <c r="E3" i="1"/>
  <c r="G3" i="1" s="1"/>
  <c r="I3" i="1" s="1"/>
  <c r="J3" i="1" s="1"/>
  <c r="F2" i="1"/>
  <c r="H2" i="1" s="1"/>
  <c r="I26" i="1" l="1"/>
  <c r="J26" i="1" s="1"/>
  <c r="I20" i="1"/>
  <c r="J20" i="1" s="1"/>
  <c r="I17" i="1"/>
  <c r="J17" i="1" s="1"/>
</calcChain>
</file>

<file path=xl/sharedStrings.xml><?xml version="1.0" encoding="utf-8"?>
<sst xmlns="http://schemas.openxmlformats.org/spreadsheetml/2006/main" count="45" uniqueCount="43">
  <si>
    <t>No</t>
  </si>
  <si>
    <t>Komoditas</t>
  </si>
  <si>
    <t>Produksi Kota Bogor (Juta Rp)</t>
  </si>
  <si>
    <t>Total Kota Bogor</t>
  </si>
  <si>
    <t>Proporsi Kota Bogor</t>
  </si>
  <si>
    <t>Nilai LQ</t>
  </si>
  <si>
    <t>Kategori</t>
  </si>
  <si>
    <t>Padi Sawah</t>
  </si>
  <si>
    <t>Jagung</t>
  </si>
  <si>
    <t>Kedelai</t>
  </si>
  <si>
    <t>Cabai Merah</t>
  </si>
  <si>
    <t>Cabai Rawit</t>
  </si>
  <si>
    <t>Tomat</t>
  </si>
  <si>
    <t>Kangkung</t>
  </si>
  <si>
    <t>Bayam</t>
  </si>
  <si>
    <t>Sawi</t>
  </si>
  <si>
    <t>Mentimun</t>
  </si>
  <si>
    <t>Terung</t>
  </si>
  <si>
    <t>Pisang</t>
  </si>
  <si>
    <t>Pepaya</t>
  </si>
  <si>
    <t>Jambu Kristal</t>
  </si>
  <si>
    <t>Ikan Lele</t>
  </si>
  <si>
    <t>Ikan Nila</t>
  </si>
  <si>
    <t>Ikan Mas</t>
  </si>
  <si>
    <t>Ayam Pedaging</t>
  </si>
  <si>
    <t>Ayam Petelur</t>
  </si>
  <si>
    <t>Sapi Potong</t>
  </si>
  <si>
    <t>Kambing</t>
  </si>
  <si>
    <t>Bunga Hias</t>
  </si>
  <si>
    <t>Tanaman Hias Daun</t>
  </si>
  <si>
    <t>Anggrek</t>
  </si>
  <si>
    <t>Bibit Tanaman</t>
  </si>
  <si>
    <t>Komponen</t>
  </si>
  <si>
    <t>Rumus</t>
  </si>
  <si>
    <t>LQ</t>
  </si>
  <si>
    <t>Interpretasi</t>
  </si>
  <si>
    <t>LQ &gt; 1 = basis/unggulan, LQ &lt; 1 = non basis</t>
  </si>
  <si>
    <t>Produksi Kecamatan Bogor Tengah (Juta Rp)</t>
  </si>
  <si>
    <t>Total Kecamatan Bogor Tengah</t>
  </si>
  <si>
    <t>Proporsi Kecamatan Bogor Tengah</t>
  </si>
  <si>
    <t>Produksi Komoditas Kota Bogor / Total Produksi Kecamatan Bogor Tengah</t>
  </si>
  <si>
    <t>Produksi Komoditas Jawa Barat / Total Produksi Kota Bogor</t>
  </si>
  <si>
    <t>Proporsi Kecamatan Bogor Tengah / Proporsi Kota Bogor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</si>
</sst>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6"/>
  <sheetViews>
    <sheetView workbookViewId="0">
      <selection activeCell="F26" sqref="F26"/>
    </sheetView>
  </sheetViews>
  <sheetFormatPr baseColWidth="10" defaultColWidth="8.83203125" defaultRowHeight="15" x14ac:dyDescent="0.2"/>
  <cols>
    <col min="1" max="1" width="5" customWidth="1"/>
    <col min="2" max="2" width="20" customWidth="1"/>
    <col min="3" max="3" width="34.83203125" bestFit="1" customWidth="1"/>
    <col min="4" max="4" width="32" customWidth="1"/>
    <col min="5" max="5" width="24.83203125" bestFit="1" customWidth="1"/>
    <col min="6" max="6" width="19" customWidth="1"/>
    <col min="7" max="7" width="27.6640625" bestFit="1" customWidth="1"/>
    <col min="8" max="8" width="22" customWidth="1"/>
    <col min="9" max="9" width="11" customWidth="1"/>
    <col min="10" max="10" width="33" customWidth="1"/>
  </cols>
  <sheetData>
    <row r="1" spans="1:10" x14ac:dyDescent="0.2">
      <c r="A1" s="1" t="s">
        <v>0</v>
      </c>
      <c r="B1" s="1" t="s">
        <v>1</v>
      </c>
      <c r="C1" s="1" t="s">
        <v>37</v>
      </c>
      <c r="D1" s="1" t="s">
        <v>2</v>
      </c>
      <c r="E1" s="1" t="s">
        <v>38</v>
      </c>
      <c r="F1" s="1" t="s">
        <v>3</v>
      </c>
      <c r="G1" s="1" t="s">
        <v>39</v>
      </c>
      <c r="H1" s="1" t="s">
        <v>4</v>
      </c>
      <c r="I1" s="1" t="s">
        <v>5</v>
      </c>
      <c r="J1" s="1" t="s">
        <v>6</v>
      </c>
    </row>
    <row r="2" spans="1:10" x14ac:dyDescent="0.2">
      <c r="A2">
        <v>1</v>
      </c>
      <c r="B2" t="s">
        <v>7</v>
      </c>
      <c r="C2">
        <v>1200</v>
      </c>
      <c r="D2">
        <v>300000</v>
      </c>
      <c r="E2">
        <f>SUM($C$2:$C$26)</f>
        <v>15850</v>
      </c>
      <c r="F2">
        <f t="shared" ref="F2:F26" si="0">SUM($D$2:$D$26)</f>
        <v>2605000</v>
      </c>
      <c r="G2">
        <f t="shared" ref="G2:G26" si="1">C2/E2</f>
        <v>7.5709779179810727E-2</v>
      </c>
      <c r="H2">
        <f t="shared" ref="H2:H26" si="2">D2/F2</f>
        <v>0.11516314779270634</v>
      </c>
      <c r="I2">
        <f t="shared" ref="I2:I26" si="3">G2/H2</f>
        <v>0.65741324921135647</v>
      </c>
      <c r="J2" t="str">
        <f t="shared" ref="J2:J26" si="4">IF(I2&gt;1,"Basis","Non Basis")</f>
        <v>Non Basis</v>
      </c>
    </row>
    <row r="3" spans="1:10" x14ac:dyDescent="0.2">
      <c r="A3">
        <v>2</v>
      </c>
      <c r="B3" t="s">
        <v>8</v>
      </c>
      <c r="C3">
        <v>300</v>
      </c>
      <c r="D3">
        <v>150000</v>
      </c>
      <c r="E3">
        <f t="shared" ref="E2:E26" si="5">SUM($C$2:$C$26)</f>
        <v>15850</v>
      </c>
      <c r="F3">
        <f t="shared" si="0"/>
        <v>2605000</v>
      </c>
      <c r="G3">
        <f t="shared" si="1"/>
        <v>1.8927444794952682E-2</v>
      </c>
      <c r="H3">
        <f t="shared" si="2"/>
        <v>5.7581573896353169E-2</v>
      </c>
      <c r="I3">
        <f t="shared" si="3"/>
        <v>0.32870662460567823</v>
      </c>
      <c r="J3" t="str">
        <f t="shared" si="4"/>
        <v>Non Basis</v>
      </c>
    </row>
    <row r="4" spans="1:10" x14ac:dyDescent="0.2">
      <c r="A4">
        <v>3</v>
      </c>
      <c r="B4" t="s">
        <v>9</v>
      </c>
      <c r="C4">
        <v>50</v>
      </c>
      <c r="D4">
        <v>50000</v>
      </c>
      <c r="E4">
        <f t="shared" si="5"/>
        <v>15850</v>
      </c>
      <c r="F4">
        <f t="shared" si="0"/>
        <v>2605000</v>
      </c>
      <c r="G4">
        <f t="shared" si="1"/>
        <v>3.1545741324921135E-3</v>
      </c>
      <c r="H4">
        <f t="shared" si="2"/>
        <v>1.9193857965451054E-2</v>
      </c>
      <c r="I4">
        <f t="shared" si="3"/>
        <v>0.16435331230283912</v>
      </c>
      <c r="J4" t="str">
        <f t="shared" si="4"/>
        <v>Non Basis</v>
      </c>
    </row>
    <row r="5" spans="1:10" x14ac:dyDescent="0.2">
      <c r="A5">
        <v>4</v>
      </c>
      <c r="B5" t="s">
        <v>10</v>
      </c>
      <c r="C5">
        <v>900</v>
      </c>
      <c r="D5">
        <v>120000</v>
      </c>
      <c r="E5">
        <f t="shared" si="5"/>
        <v>15850</v>
      </c>
      <c r="F5">
        <f t="shared" si="0"/>
        <v>2605000</v>
      </c>
      <c r="G5">
        <f t="shared" si="1"/>
        <v>5.6782334384858045E-2</v>
      </c>
      <c r="H5">
        <f t="shared" si="2"/>
        <v>4.6065259117082535E-2</v>
      </c>
      <c r="I5">
        <f t="shared" si="3"/>
        <v>1.2326498422712933</v>
      </c>
      <c r="J5" t="str">
        <f t="shared" si="4"/>
        <v>Basis</v>
      </c>
    </row>
    <row r="6" spans="1:10" x14ac:dyDescent="0.2">
      <c r="A6">
        <v>5</v>
      </c>
      <c r="B6" t="s">
        <v>11</v>
      </c>
      <c r="C6">
        <v>800</v>
      </c>
      <c r="D6">
        <v>100000</v>
      </c>
      <c r="E6">
        <f t="shared" si="5"/>
        <v>15850</v>
      </c>
      <c r="F6">
        <f t="shared" si="0"/>
        <v>2605000</v>
      </c>
      <c r="G6">
        <f t="shared" si="1"/>
        <v>5.0473186119873815E-2</v>
      </c>
      <c r="H6">
        <f t="shared" si="2"/>
        <v>3.8387715930902108E-2</v>
      </c>
      <c r="I6">
        <f t="shared" si="3"/>
        <v>1.3148264984227129</v>
      </c>
      <c r="J6" t="str">
        <f t="shared" si="4"/>
        <v>Basis</v>
      </c>
    </row>
    <row r="7" spans="1:10" x14ac:dyDescent="0.2">
      <c r="A7">
        <v>6</v>
      </c>
      <c r="B7" t="s">
        <v>12</v>
      </c>
      <c r="C7">
        <v>500</v>
      </c>
      <c r="D7">
        <v>70000</v>
      </c>
      <c r="E7">
        <f t="shared" si="5"/>
        <v>15850</v>
      </c>
      <c r="F7">
        <f t="shared" si="0"/>
        <v>2605000</v>
      </c>
      <c r="G7">
        <f t="shared" si="1"/>
        <v>3.1545741324921134E-2</v>
      </c>
      <c r="H7">
        <f t="shared" si="2"/>
        <v>2.6871401151631478E-2</v>
      </c>
      <c r="I7">
        <f t="shared" si="3"/>
        <v>1.1739522307345651</v>
      </c>
      <c r="J7" t="str">
        <f t="shared" si="4"/>
        <v>Basis</v>
      </c>
    </row>
    <row r="8" spans="1:10" x14ac:dyDescent="0.2">
      <c r="A8">
        <v>7</v>
      </c>
      <c r="B8" t="s">
        <v>13</v>
      </c>
      <c r="C8">
        <v>700</v>
      </c>
      <c r="D8">
        <v>60000</v>
      </c>
      <c r="E8">
        <f t="shared" si="5"/>
        <v>15850</v>
      </c>
      <c r="F8">
        <f t="shared" si="0"/>
        <v>2605000</v>
      </c>
      <c r="G8">
        <f t="shared" si="1"/>
        <v>4.4164037854889593E-2</v>
      </c>
      <c r="H8">
        <f t="shared" si="2"/>
        <v>2.3032629558541268E-2</v>
      </c>
      <c r="I8">
        <f>G8/H8</f>
        <v>1.9174553101997898</v>
      </c>
      <c r="J8" t="str">
        <f t="shared" si="4"/>
        <v>Basis</v>
      </c>
    </row>
    <row r="9" spans="1:10" x14ac:dyDescent="0.2">
      <c r="A9">
        <v>8</v>
      </c>
      <c r="B9" t="s">
        <v>14</v>
      </c>
      <c r="C9">
        <v>650</v>
      </c>
      <c r="D9">
        <v>50000</v>
      </c>
      <c r="E9">
        <f t="shared" si="5"/>
        <v>15850</v>
      </c>
      <c r="F9">
        <f t="shared" si="0"/>
        <v>2605000</v>
      </c>
      <c r="G9">
        <f t="shared" si="1"/>
        <v>4.1009463722397478E-2</v>
      </c>
      <c r="H9">
        <f t="shared" si="2"/>
        <v>1.9193857965451054E-2</v>
      </c>
      <c r="I9">
        <f t="shared" si="3"/>
        <v>2.1365930599369087</v>
      </c>
      <c r="J9" t="str">
        <f t="shared" si="4"/>
        <v>Basis</v>
      </c>
    </row>
    <row r="10" spans="1:10" x14ac:dyDescent="0.2">
      <c r="A10">
        <v>9</v>
      </c>
      <c r="B10" t="s">
        <v>15</v>
      </c>
      <c r="C10">
        <v>600</v>
      </c>
      <c r="D10">
        <v>45000</v>
      </c>
      <c r="E10">
        <f t="shared" si="5"/>
        <v>15850</v>
      </c>
      <c r="F10">
        <f t="shared" si="0"/>
        <v>2605000</v>
      </c>
      <c r="G10">
        <f t="shared" si="1"/>
        <v>3.7854889589905363E-2</v>
      </c>
      <c r="H10">
        <f t="shared" si="2"/>
        <v>1.7274472168905951E-2</v>
      </c>
      <c r="I10">
        <f t="shared" si="3"/>
        <v>2.1913774973711884</v>
      </c>
      <c r="J10" t="str">
        <f t="shared" si="4"/>
        <v>Basis</v>
      </c>
    </row>
    <row r="11" spans="1:10" x14ac:dyDescent="0.2">
      <c r="A11">
        <v>10</v>
      </c>
      <c r="B11" t="s">
        <v>16</v>
      </c>
      <c r="C11">
        <v>400</v>
      </c>
      <c r="D11">
        <v>60000</v>
      </c>
      <c r="E11">
        <f t="shared" si="5"/>
        <v>15850</v>
      </c>
      <c r="F11">
        <f t="shared" si="0"/>
        <v>2605000</v>
      </c>
      <c r="G11">
        <f t="shared" si="1"/>
        <v>2.5236593059936908E-2</v>
      </c>
      <c r="H11">
        <f t="shared" si="2"/>
        <v>2.3032629558541268E-2</v>
      </c>
      <c r="I11">
        <f t="shared" si="3"/>
        <v>1.095688748685594</v>
      </c>
      <c r="J11" t="str">
        <f t="shared" si="4"/>
        <v>Basis</v>
      </c>
    </row>
    <row r="12" spans="1:10" x14ac:dyDescent="0.2">
      <c r="A12">
        <v>11</v>
      </c>
      <c r="B12" t="s">
        <v>17</v>
      </c>
      <c r="C12">
        <v>350</v>
      </c>
      <c r="D12">
        <v>50000</v>
      </c>
      <c r="E12">
        <f t="shared" si="5"/>
        <v>15850</v>
      </c>
      <c r="F12">
        <f t="shared" si="0"/>
        <v>2605000</v>
      </c>
      <c r="G12">
        <f t="shared" si="1"/>
        <v>2.2082018927444796E-2</v>
      </c>
      <c r="H12">
        <f t="shared" si="2"/>
        <v>1.9193857965451054E-2</v>
      </c>
      <c r="I12">
        <f t="shared" si="3"/>
        <v>1.150473186119874</v>
      </c>
      <c r="J12" t="str">
        <f t="shared" si="4"/>
        <v>Basis</v>
      </c>
    </row>
    <row r="13" spans="1:10" x14ac:dyDescent="0.2">
      <c r="A13">
        <v>12</v>
      </c>
      <c r="B13" t="s">
        <v>18</v>
      </c>
      <c r="C13">
        <v>550</v>
      </c>
      <c r="D13">
        <v>80000</v>
      </c>
      <c r="E13">
        <f t="shared" si="5"/>
        <v>15850</v>
      </c>
      <c r="F13">
        <f t="shared" si="0"/>
        <v>2605000</v>
      </c>
      <c r="G13">
        <f t="shared" si="1"/>
        <v>3.4700315457413249E-2</v>
      </c>
      <c r="H13">
        <f t="shared" si="2"/>
        <v>3.0710172744721688E-2</v>
      </c>
      <c r="I13">
        <f t="shared" si="3"/>
        <v>1.1299290220820188</v>
      </c>
      <c r="J13" t="str">
        <f t="shared" si="4"/>
        <v>Basis</v>
      </c>
    </row>
    <row r="14" spans="1:10" x14ac:dyDescent="0.2">
      <c r="A14">
        <v>13</v>
      </c>
      <c r="B14" t="s">
        <v>19</v>
      </c>
      <c r="C14">
        <v>450</v>
      </c>
      <c r="D14">
        <v>40000</v>
      </c>
      <c r="E14">
        <f t="shared" si="5"/>
        <v>15850</v>
      </c>
      <c r="F14">
        <f t="shared" si="0"/>
        <v>2605000</v>
      </c>
      <c r="G14">
        <f t="shared" si="1"/>
        <v>2.8391167192429023E-2</v>
      </c>
      <c r="H14">
        <f t="shared" si="2"/>
        <v>1.5355086372360844E-2</v>
      </c>
      <c r="I14">
        <f t="shared" si="3"/>
        <v>1.8489747634069402</v>
      </c>
      <c r="J14" t="str">
        <f t="shared" si="4"/>
        <v>Basis</v>
      </c>
    </row>
    <row r="15" spans="1:10" x14ac:dyDescent="0.2">
      <c r="A15">
        <v>14</v>
      </c>
      <c r="B15" t="s">
        <v>20</v>
      </c>
      <c r="C15">
        <v>300</v>
      </c>
      <c r="D15">
        <v>20000</v>
      </c>
      <c r="E15">
        <f t="shared" si="5"/>
        <v>15850</v>
      </c>
      <c r="F15">
        <f t="shared" si="0"/>
        <v>2605000</v>
      </c>
      <c r="G15">
        <f t="shared" si="1"/>
        <v>1.8927444794952682E-2</v>
      </c>
      <c r="H15">
        <f t="shared" si="2"/>
        <v>7.677543186180422E-3</v>
      </c>
      <c r="I15">
        <f t="shared" si="3"/>
        <v>2.465299684542587</v>
      </c>
      <c r="J15" t="str">
        <f t="shared" si="4"/>
        <v>Basis</v>
      </c>
    </row>
    <row r="16" spans="1:10" x14ac:dyDescent="0.2">
      <c r="A16">
        <v>15</v>
      </c>
      <c r="B16" t="s">
        <v>21</v>
      </c>
      <c r="C16">
        <v>1000</v>
      </c>
      <c r="D16">
        <v>90000</v>
      </c>
      <c r="E16">
        <f t="shared" si="5"/>
        <v>15850</v>
      </c>
      <c r="F16">
        <f t="shared" si="0"/>
        <v>2605000</v>
      </c>
      <c r="G16">
        <f t="shared" si="1"/>
        <v>6.3091482649842268E-2</v>
      </c>
      <c r="H16">
        <f t="shared" si="2"/>
        <v>3.4548944337811902E-2</v>
      </c>
      <c r="I16">
        <f t="shared" si="3"/>
        <v>1.82614791447599</v>
      </c>
      <c r="J16" t="str">
        <f t="shared" si="4"/>
        <v>Basis</v>
      </c>
    </row>
    <row r="17" spans="1:10" x14ac:dyDescent="0.2">
      <c r="A17">
        <v>16</v>
      </c>
      <c r="B17" t="s">
        <v>22</v>
      </c>
      <c r="C17">
        <v>800</v>
      </c>
      <c r="D17">
        <v>100000</v>
      </c>
      <c r="E17">
        <f t="shared" si="5"/>
        <v>15850</v>
      </c>
      <c r="F17">
        <f t="shared" si="0"/>
        <v>2605000</v>
      </c>
      <c r="G17">
        <f t="shared" si="1"/>
        <v>5.0473186119873815E-2</v>
      </c>
      <c r="H17">
        <f t="shared" si="2"/>
        <v>3.8387715930902108E-2</v>
      </c>
      <c r="I17">
        <f t="shared" si="3"/>
        <v>1.3148264984227129</v>
      </c>
      <c r="J17" t="str">
        <f t="shared" si="4"/>
        <v>Basis</v>
      </c>
    </row>
    <row r="18" spans="1:10" x14ac:dyDescent="0.2">
      <c r="A18">
        <v>17</v>
      </c>
      <c r="B18" t="s">
        <v>23</v>
      </c>
      <c r="C18">
        <v>500</v>
      </c>
      <c r="D18">
        <v>80000</v>
      </c>
      <c r="E18">
        <f t="shared" si="5"/>
        <v>15850</v>
      </c>
      <c r="F18">
        <f t="shared" si="0"/>
        <v>2605000</v>
      </c>
      <c r="G18">
        <f t="shared" si="1"/>
        <v>3.1545741324921134E-2</v>
      </c>
      <c r="H18">
        <f t="shared" si="2"/>
        <v>3.0710172744721688E-2</v>
      </c>
      <c r="I18">
        <f t="shared" si="3"/>
        <v>1.0272082018927444</v>
      </c>
      <c r="J18" t="str">
        <f t="shared" si="4"/>
        <v>Basis</v>
      </c>
    </row>
    <row r="19" spans="1:10" x14ac:dyDescent="0.2">
      <c r="A19">
        <v>18</v>
      </c>
      <c r="B19" t="s">
        <v>24</v>
      </c>
      <c r="C19">
        <v>1500</v>
      </c>
      <c r="D19">
        <v>500000</v>
      </c>
      <c r="E19">
        <f t="shared" si="5"/>
        <v>15850</v>
      </c>
      <c r="F19">
        <f t="shared" si="0"/>
        <v>2605000</v>
      </c>
      <c r="G19">
        <f t="shared" si="1"/>
        <v>9.4637223974763401E-2</v>
      </c>
      <c r="H19">
        <f t="shared" si="2"/>
        <v>0.19193857965451055</v>
      </c>
      <c r="I19">
        <f t="shared" si="3"/>
        <v>0.49305993690851735</v>
      </c>
      <c r="J19" t="str">
        <f t="shared" si="4"/>
        <v>Non Basis</v>
      </c>
    </row>
    <row r="20" spans="1:10" x14ac:dyDescent="0.2">
      <c r="A20">
        <v>19</v>
      </c>
      <c r="B20" t="s">
        <v>25</v>
      </c>
      <c r="C20">
        <v>700</v>
      </c>
      <c r="D20">
        <v>200000</v>
      </c>
      <c r="E20">
        <f t="shared" si="5"/>
        <v>15850</v>
      </c>
      <c r="F20">
        <f t="shared" si="0"/>
        <v>2605000</v>
      </c>
      <c r="G20">
        <f t="shared" si="1"/>
        <v>4.4164037854889593E-2</v>
      </c>
      <c r="H20">
        <f t="shared" si="2"/>
        <v>7.6775431861804216E-2</v>
      </c>
      <c r="I20">
        <f t="shared" si="3"/>
        <v>0.57523659305993702</v>
      </c>
      <c r="J20" t="str">
        <f t="shared" si="4"/>
        <v>Non Basis</v>
      </c>
    </row>
    <row r="21" spans="1:10" x14ac:dyDescent="0.2">
      <c r="A21">
        <v>20</v>
      </c>
      <c r="B21" t="s">
        <v>26</v>
      </c>
      <c r="C21">
        <v>300</v>
      </c>
      <c r="D21">
        <v>300000</v>
      </c>
      <c r="E21">
        <f t="shared" si="5"/>
        <v>15850</v>
      </c>
      <c r="F21">
        <f t="shared" si="0"/>
        <v>2605000</v>
      </c>
      <c r="G21">
        <f t="shared" si="1"/>
        <v>1.8927444794952682E-2</v>
      </c>
      <c r="H21">
        <f t="shared" si="2"/>
        <v>0.11516314779270634</v>
      </c>
      <c r="I21">
        <f t="shared" si="3"/>
        <v>0.16435331230283912</v>
      </c>
      <c r="J21" t="str">
        <f t="shared" si="4"/>
        <v>Non Basis</v>
      </c>
    </row>
    <row r="22" spans="1:10" x14ac:dyDescent="0.2">
      <c r="A22">
        <v>21</v>
      </c>
      <c r="B22" t="s">
        <v>27</v>
      </c>
      <c r="C22">
        <v>100</v>
      </c>
      <c r="D22">
        <v>50000</v>
      </c>
      <c r="E22">
        <f t="shared" si="5"/>
        <v>15850</v>
      </c>
      <c r="F22">
        <f t="shared" si="0"/>
        <v>2605000</v>
      </c>
      <c r="G22">
        <f t="shared" si="1"/>
        <v>6.3091482649842269E-3</v>
      </c>
      <c r="H22">
        <f t="shared" si="2"/>
        <v>1.9193857965451054E-2</v>
      </c>
      <c r="I22">
        <f t="shared" si="3"/>
        <v>0.32870662460567823</v>
      </c>
      <c r="J22" t="str">
        <f t="shared" si="4"/>
        <v>Non Basis</v>
      </c>
    </row>
    <row r="23" spans="1:10" x14ac:dyDescent="0.2">
      <c r="A23">
        <v>22</v>
      </c>
      <c r="B23" t="s">
        <v>28</v>
      </c>
      <c r="C23">
        <v>900</v>
      </c>
      <c r="D23">
        <v>30000</v>
      </c>
      <c r="E23">
        <f t="shared" si="5"/>
        <v>15850</v>
      </c>
      <c r="F23">
        <f t="shared" si="0"/>
        <v>2605000</v>
      </c>
      <c r="G23">
        <f t="shared" si="1"/>
        <v>5.6782334384858045E-2</v>
      </c>
      <c r="H23">
        <f t="shared" si="2"/>
        <v>1.1516314779270634E-2</v>
      </c>
      <c r="I23">
        <f t="shared" si="3"/>
        <v>4.930599369085173</v>
      </c>
      <c r="J23" t="str">
        <f t="shared" si="4"/>
        <v>Basis</v>
      </c>
    </row>
    <row r="24" spans="1:10" x14ac:dyDescent="0.2">
      <c r="A24">
        <v>23</v>
      </c>
      <c r="B24" t="s">
        <v>29</v>
      </c>
      <c r="C24">
        <v>1000</v>
      </c>
      <c r="D24">
        <v>25000</v>
      </c>
      <c r="E24">
        <f t="shared" si="5"/>
        <v>15850</v>
      </c>
      <c r="F24">
        <f t="shared" si="0"/>
        <v>2605000</v>
      </c>
      <c r="G24">
        <f t="shared" si="1"/>
        <v>6.3091482649842268E-2</v>
      </c>
      <c r="H24">
        <f t="shared" si="2"/>
        <v>9.5969289827255271E-3</v>
      </c>
      <c r="I24">
        <f t="shared" si="3"/>
        <v>6.5741324921135647</v>
      </c>
      <c r="J24" t="str">
        <f t="shared" si="4"/>
        <v>Basis</v>
      </c>
    </row>
    <row r="25" spans="1:10" x14ac:dyDescent="0.2">
      <c r="A25">
        <v>24</v>
      </c>
      <c r="B25" t="s">
        <v>30</v>
      </c>
      <c r="C25">
        <v>700</v>
      </c>
      <c r="D25">
        <v>15000</v>
      </c>
      <c r="E25">
        <f t="shared" si="5"/>
        <v>15850</v>
      </c>
      <c r="F25">
        <f t="shared" si="0"/>
        <v>2605000</v>
      </c>
      <c r="G25">
        <f t="shared" si="1"/>
        <v>4.4164037854889593E-2</v>
      </c>
      <c r="H25">
        <f t="shared" si="2"/>
        <v>5.7581573896353169E-3</v>
      </c>
      <c r="I25">
        <f t="shared" si="3"/>
        <v>7.6698212407991591</v>
      </c>
      <c r="J25" t="str">
        <f t="shared" si="4"/>
        <v>Basis</v>
      </c>
    </row>
    <row r="26" spans="1:10" x14ac:dyDescent="0.2">
      <c r="A26">
        <v>25</v>
      </c>
      <c r="B26" t="s">
        <v>31</v>
      </c>
      <c r="C26">
        <v>600</v>
      </c>
      <c r="D26">
        <v>20000</v>
      </c>
      <c r="E26">
        <f t="shared" si="5"/>
        <v>15850</v>
      </c>
      <c r="F26">
        <f t="shared" si="0"/>
        <v>2605000</v>
      </c>
      <c r="G26">
        <f t="shared" si="1"/>
        <v>3.7854889589905363E-2</v>
      </c>
      <c r="H26">
        <f t="shared" si="2"/>
        <v>7.677543186180422E-3</v>
      </c>
      <c r="I26">
        <f t="shared" si="3"/>
        <v>4.9305993690851739</v>
      </c>
      <c r="J26" t="str">
        <f t="shared" si="4"/>
        <v>Basis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5"/>
  <sheetViews>
    <sheetView tabSelected="1" workbookViewId="0">
      <selection activeCell="B16" sqref="B16"/>
    </sheetView>
  </sheetViews>
  <sheetFormatPr baseColWidth="10" defaultColWidth="8.83203125" defaultRowHeight="15" x14ac:dyDescent="0.2"/>
  <cols>
    <col min="1" max="1" width="27.33203125" bestFit="1" customWidth="1"/>
    <col min="2" max="2" width="46.83203125" bestFit="1" customWidth="1"/>
  </cols>
  <sheetData>
    <row r="1" spans="1:2" x14ac:dyDescent="0.2">
      <c r="A1" t="s">
        <v>32</v>
      </c>
      <c r="B1" t="s">
        <v>33</v>
      </c>
    </row>
    <row r="2" spans="1:2" x14ac:dyDescent="0.2">
      <c r="A2" t="s">
        <v>39</v>
      </c>
      <c r="B2" t="s">
        <v>40</v>
      </c>
    </row>
    <row r="3" spans="1:2" x14ac:dyDescent="0.2">
      <c r="A3" t="s">
        <v>4</v>
      </c>
      <c r="B3" t="s">
        <v>41</v>
      </c>
    </row>
    <row r="4" spans="1:2" x14ac:dyDescent="0.2">
      <c r="A4" t="s">
        <v>34</v>
      </c>
      <c r="B4" t="s">
        <v>42</v>
      </c>
    </row>
    <row r="5" spans="1:2" x14ac:dyDescent="0.2">
      <c r="A5" t="s">
        <v>35</v>
      </c>
      <c r="B5" t="s">
        <v>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Perhitungan LQ</vt:lpstr>
      <vt:lpstr>Penjelasan Rumus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Ali Mahmudin</cp:lastModifiedBy>
  <dcterms:created xsi:type="dcterms:W3CDTF">2026-09-03T05:01:50Z</dcterms:created>
  <dcterms:modified xsi:type="dcterms:W3CDTF">2026-09-03T05:16:22Z</dcterms:modified>
</cp:coreProperties>
</file>